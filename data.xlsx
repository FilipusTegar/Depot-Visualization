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SPBE" sheetId="1" r:id="rId1"/>
    <sheet name="TLPG" sheetId="4" r:id="rId2"/>
    <sheet name="Eksisting" sheetId="5" r:id="rId3"/>
    <sheet name="Sheet1" sheetId="2" r:id="rId4"/>
    <sheet name="Sheet2" sheetId="3" r:id="rId5"/>
  </sheets>
  <externalReferences>
    <externalReference r:id="rId6"/>
  </externalReferences>
  <definedNames>
    <definedName name="\F">#REF!</definedName>
    <definedName name="\I">#REF!</definedName>
    <definedName name="\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Andre Pranoto</author>
  </authors>
  <commentList>
    <comment ref="G168" authorId="0">
      <text>
        <r>
          <rPr>
            <b/>
            <sz val="9"/>
            <rFont val="Tahoma"/>
            <charset val="134"/>
          </rPr>
          <t>Andre Pranoto:</t>
        </r>
        <r>
          <rPr>
            <sz val="9"/>
            <rFont val="Tahoma"/>
            <charset val="134"/>
          </rPr>
          <t xml:space="preserve">
Relokasi SPBE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<sst xmlns="http://schemas.openxmlformats.org/spreadsheetml/2006/main" count="5837" uniqueCount="2941">
  <si>
    <t>SPBE</t>
  </si>
  <si>
    <t>lat</t>
  </si>
  <si>
    <t>lng</t>
  </si>
  <si>
    <t>C224C</t>
  </si>
  <si>
    <t>-7.342673079032825</t>
  </si>
  <si>
    <t xml:space="preserve"> 108.14548238658637</t>
  </si>
  <si>
    <t>C224E</t>
  </si>
  <si>
    <t>-7.39144708801219</t>
  </si>
  <si>
    <t xml:space="preserve"> 108.52692614876827</t>
  </si>
  <si>
    <t>C225L</t>
  </si>
  <si>
    <t>-7.17497</t>
  </si>
  <si>
    <t xml:space="preserve"> 108.16981</t>
  </si>
  <si>
    <t>C225Y</t>
  </si>
  <si>
    <t>-7.360806</t>
  </si>
  <si>
    <t xml:space="preserve"> 108.236472</t>
  </si>
  <si>
    <t>C226A</t>
  </si>
  <si>
    <t>-7.35581</t>
  </si>
  <si>
    <t xml:space="preserve"> 108.41117</t>
  </si>
  <si>
    <t>C226G</t>
  </si>
  <si>
    <t>-7.342213097834306</t>
  </si>
  <si>
    <t xml:space="preserve"> 108.49610930074994</t>
  </si>
  <si>
    <t>C227M</t>
  </si>
  <si>
    <t>-7.461214693622029</t>
  </si>
  <si>
    <t xml:space="preserve"> 108.19437425760387</t>
  </si>
  <si>
    <t>C2289</t>
  </si>
  <si>
    <t>-7.33397</t>
  </si>
  <si>
    <t xml:space="preserve"> 108.23797</t>
  </si>
  <si>
    <t>C228Y</t>
  </si>
  <si>
    <t>C229Q</t>
  </si>
  <si>
    <t>-7.578706</t>
  </si>
  <si>
    <t xml:space="preserve"> 108.168318</t>
  </si>
  <si>
    <t>C22A5</t>
  </si>
  <si>
    <t>-7.236866699482173</t>
  </si>
  <si>
    <t xml:space="preserve"> 108.1897214365848</t>
  </si>
  <si>
    <t>C22C3</t>
  </si>
  <si>
    <t>-7.669845</t>
  </si>
  <si>
    <t xml:space="preserve"> 108.725625</t>
  </si>
  <si>
    <t>C2353</t>
  </si>
  <si>
    <t>-7.559031074406454</t>
  </si>
  <si>
    <t xml:space="preserve"> 110.89352253225702</t>
  </si>
  <si>
    <t>C2354</t>
  </si>
  <si>
    <t>-7.534370037375159</t>
  </si>
  <si>
    <t xml:space="preserve"> 110.670643530622</t>
  </si>
  <si>
    <t>C2355</t>
  </si>
  <si>
    <t>-7.772312</t>
  </si>
  <si>
    <t xml:space="preserve"> 110.479018</t>
  </si>
  <si>
    <t>C2358</t>
  </si>
  <si>
    <t>-7.8376955055289725</t>
  </si>
  <si>
    <t xml:space="preserve"> 110.44035065392153</t>
  </si>
  <si>
    <t>C2359</t>
  </si>
  <si>
    <t>-7.41365947333945</t>
  </si>
  <si>
    <t xml:space="preserve"> 109.16603801363874</t>
  </si>
  <si>
    <t>C235C</t>
  </si>
  <si>
    <t>-7.860468661407782</t>
  </si>
  <si>
    <t xml:space="preserve"> 110.2325075870884</t>
  </si>
  <si>
    <t>C235E</t>
  </si>
  <si>
    <t>-7.820790048311466</t>
  </si>
  <si>
    <t xml:space="preserve"> 110.99722440861562</t>
  </si>
  <si>
    <t>C235H</t>
  </si>
  <si>
    <t>-7.200739090673931</t>
  </si>
  <si>
    <t xml:space="preserve"> 109.02164181031713</t>
  </si>
  <si>
    <t>C235K</t>
  </si>
  <si>
    <t>-7.54198</t>
  </si>
  <si>
    <t xml:space="preserve"> 110.860695</t>
  </si>
  <si>
    <t>C235M</t>
  </si>
  <si>
    <t>C235O</t>
  </si>
  <si>
    <t>C235P</t>
  </si>
  <si>
    <t>-7.668600861951328</t>
  </si>
  <si>
    <t xml:space="preserve"> 110.66345069961939</t>
  </si>
  <si>
    <t>C235R</t>
  </si>
  <si>
    <t>-7.725106975148485</t>
  </si>
  <si>
    <t xml:space="preserve"> 110.55341673077949</t>
  </si>
  <si>
    <t>C235T</t>
  </si>
  <si>
    <t>-7.56900005567449</t>
  </si>
  <si>
    <t xml:space="preserve"> 109.22120285352376</t>
  </si>
  <si>
    <t>C235U</t>
  </si>
  <si>
    <t>-7.855615046548878</t>
  </si>
  <si>
    <t xml:space="preserve"> 110.21587527421396</t>
  </si>
  <si>
    <t>C235Y</t>
  </si>
  <si>
    <t>C2360</t>
  </si>
  <si>
    <t>-7.490679905427981</t>
  </si>
  <si>
    <t xml:space="preserve"> 109.29832881947348</t>
  </si>
  <si>
    <t>C2363</t>
  </si>
  <si>
    <t>-7.646711508931933</t>
  </si>
  <si>
    <t xml:space="preserve"> 110.81444737606694</t>
  </si>
  <si>
    <t>C2368</t>
  </si>
  <si>
    <t>-7.677336643939668</t>
  </si>
  <si>
    <t xml:space="preserve"> 110.33531301135666</t>
  </si>
  <si>
    <t>C2369</t>
  </si>
  <si>
    <t>-7.895372236427339</t>
  </si>
  <si>
    <t xml:space="preserve"> 110.35554370566547</t>
  </si>
  <si>
    <t>C236D</t>
  </si>
  <si>
    <t>-7.943939213444207</t>
  </si>
  <si>
    <t xml:space="preserve"> 110.61457149840915</t>
  </si>
  <si>
    <t>C236F</t>
  </si>
  <si>
    <t>-7.607522364487618</t>
  </si>
  <si>
    <t xml:space="preserve"> 109.47420122175296</t>
  </si>
  <si>
    <t>C236G</t>
  </si>
  <si>
    <t>C236J</t>
  </si>
  <si>
    <t>-7.527268893950364</t>
  </si>
  <si>
    <t xml:space="preserve"> 110.1816665771205</t>
  </si>
  <si>
    <t>C236K</t>
  </si>
  <si>
    <t>-7.411083225910119</t>
  </si>
  <si>
    <t xml:space="preserve"> 109.64265275971815</t>
  </si>
  <si>
    <t>C236M</t>
  </si>
  <si>
    <t>-7.6931544393299705</t>
  </si>
  <si>
    <t xml:space="preserve"> 109.68699059268911</t>
  </si>
  <si>
    <t>C2370</t>
  </si>
  <si>
    <t>-7.362046275383315</t>
  </si>
  <si>
    <t xml:space="preserve"> 111.12281202099176</t>
  </si>
  <si>
    <t>C2372</t>
  </si>
  <si>
    <t>-7.427914540828995</t>
  </si>
  <si>
    <t xml:space="preserve"> 109.44212493313681</t>
  </si>
  <si>
    <t>C2373</t>
  </si>
  <si>
    <t>-7.355706367777189</t>
  </si>
  <si>
    <t xml:space="preserve"> 110.2215538161872</t>
  </si>
  <si>
    <t>C2374</t>
  </si>
  <si>
    <t>-7.641375194652337</t>
  </si>
  <si>
    <t xml:space="preserve"> 109.57943912911114</t>
  </si>
  <si>
    <t>C2375</t>
  </si>
  <si>
    <t>-7.724162755374904</t>
  </si>
  <si>
    <t xml:space="preserve"> 109.8734108076605</t>
  </si>
  <si>
    <t>C237A</t>
  </si>
  <si>
    <t>-7.690892</t>
  </si>
  <si>
    <t xml:space="preserve"> 109.004902</t>
  </si>
  <si>
    <t>C237B</t>
  </si>
  <si>
    <t>C2383</t>
  </si>
  <si>
    <t>-7.425829605193342</t>
  </si>
  <si>
    <t xml:space="preserve"> 109.84918854149785</t>
  </si>
  <si>
    <t>C2384</t>
  </si>
  <si>
    <t>-7.802594789010798</t>
  </si>
  <si>
    <t xml:space="preserve"> 110.28117122960194</t>
  </si>
  <si>
    <t>C2385</t>
  </si>
  <si>
    <t>-7.369306</t>
  </si>
  <si>
    <t xml:space="preserve"> 109.667583</t>
  </si>
  <si>
    <t>C2389</t>
  </si>
  <si>
    <t>-7.491112291478524</t>
  </si>
  <si>
    <t xml:space="preserve"> 110.23610399687507</t>
  </si>
  <si>
    <t>C2395</t>
  </si>
  <si>
    <t>-7.675616274044927</t>
  </si>
  <si>
    <t xml:space="preserve"> 110.65846723723693</t>
  </si>
  <si>
    <t>C2396</t>
  </si>
  <si>
    <t>-7.441049313981076</t>
  </si>
  <si>
    <t xml:space="preserve"> 109.07111636141991</t>
  </si>
  <si>
    <t>C239B</t>
  </si>
  <si>
    <t>-7.688281492397584</t>
  </si>
  <si>
    <t xml:space="preserve"> 109.63242331924042</t>
  </si>
  <si>
    <t>C239E</t>
  </si>
  <si>
    <t>-7.278442548105626</t>
  </si>
  <si>
    <t xml:space="preserve"> 110.12669826205153</t>
  </si>
  <si>
    <t>C239H</t>
  </si>
  <si>
    <t>-7.8073776581814105</t>
  </si>
  <si>
    <t xml:space="preserve"> 110.30991060420013</t>
  </si>
  <si>
    <t>C239I</t>
  </si>
  <si>
    <t>-7.539542</t>
  </si>
  <si>
    <t xml:space="preserve"> 110.877827</t>
  </si>
  <si>
    <t>C239J</t>
  </si>
  <si>
    <t>-7.4259779697281</t>
  </si>
  <si>
    <t xml:space="preserve"> 108.88961668527935</t>
  </si>
  <si>
    <t>C239K</t>
  </si>
  <si>
    <t>-7.614874902680153</t>
  </si>
  <si>
    <t xml:space="preserve"> 110.05950288750033</t>
  </si>
  <si>
    <t>C239L</t>
  </si>
  <si>
    <t>-7.543421233191328</t>
  </si>
  <si>
    <t xml:space="preserve"> 110.85017964828774</t>
  </si>
  <si>
    <t>C239N</t>
  </si>
  <si>
    <t>-7.335835</t>
  </si>
  <si>
    <t xml:space="preserve"> 108.826847</t>
  </si>
  <si>
    <t>C239O</t>
  </si>
  <si>
    <t>-7.358121406901272</t>
  </si>
  <si>
    <t xml:space="preserve"> 109.35535490718554</t>
  </si>
  <si>
    <t>C239P</t>
  </si>
  <si>
    <t>-7.5613906219371385</t>
  </si>
  <si>
    <t xml:space="preserve"> 109.2088964784713</t>
  </si>
  <si>
    <t>C239Q</t>
  </si>
  <si>
    <t>-6.942981108835243</t>
  </si>
  <si>
    <t xml:space="preserve"> 108.93492750312272</t>
  </si>
  <si>
    <t>C239R</t>
  </si>
  <si>
    <t>-7.418807</t>
  </si>
  <si>
    <t xml:space="preserve"> 109.879901</t>
  </si>
  <si>
    <t>C239S</t>
  </si>
  <si>
    <t>-7.489524100090153</t>
  </si>
  <si>
    <t xml:space="preserve"> 108.99569941217185</t>
  </si>
  <si>
    <t>C2350</t>
  </si>
  <si>
    <t>-6.990661693471107</t>
  </si>
  <si>
    <t xml:space="preserve"> 110.33776120011518</t>
  </si>
  <si>
    <t>C2351</t>
  </si>
  <si>
    <t>-7.274563570531562</t>
  </si>
  <si>
    <t xml:space="preserve"> 110.4566389733656</t>
  </si>
  <si>
    <t>C2352</t>
  </si>
  <si>
    <t>-6.874019777832724</t>
  </si>
  <si>
    <t xml:space="preserve"> 109.24198483543758</t>
  </si>
  <si>
    <t>C2356</t>
  </si>
  <si>
    <t>-6.943541635761603</t>
  </si>
  <si>
    <t xml:space="preserve"> 110.46463078053</t>
  </si>
  <si>
    <t>C2357</t>
  </si>
  <si>
    <t>-6.770064785828307</t>
  </si>
  <si>
    <t xml:space="preserve"> 110.77736549305621</t>
  </si>
  <si>
    <t>C235A</t>
  </si>
  <si>
    <t>-6.900651438588143</t>
  </si>
  <si>
    <t xml:space="preserve"> 109.6992891530893</t>
  </si>
  <si>
    <t>C235D</t>
  </si>
  <si>
    <t>-6.699044984985001</t>
  </si>
  <si>
    <t xml:space="preserve"> 111.06154364580229</t>
  </si>
  <si>
    <t>C235F</t>
  </si>
  <si>
    <t>-6.98194792533315</t>
  </si>
  <si>
    <t xml:space="preserve"> 110.35510903046466</t>
  </si>
  <si>
    <t>C235G</t>
  </si>
  <si>
    <t>-7.311746583270268</t>
  </si>
  <si>
    <t xml:space="preserve"> 110.47581945941714</t>
  </si>
  <si>
    <t>C235I</t>
  </si>
  <si>
    <t>-6.889513704347308</t>
  </si>
  <si>
    <t xml:space="preserve"> 109.60849320149292</t>
  </si>
  <si>
    <t>C235J</t>
  </si>
  <si>
    <t>-6.921999793840568</t>
  </si>
  <si>
    <t xml:space="preserve"> 110.5874724553097</t>
  </si>
  <si>
    <t>C235L</t>
  </si>
  <si>
    <t>C235N</t>
  </si>
  <si>
    <t>-6.703179137559683</t>
  </si>
  <si>
    <t xml:space="preserve"> 111.39367464497944</t>
  </si>
  <si>
    <t>C235Q</t>
  </si>
  <si>
    <t>-7.373293805083455</t>
  </si>
  <si>
    <t xml:space="preserve"> 110.50480774271436</t>
  </si>
  <si>
    <t>C235V</t>
  </si>
  <si>
    <t>-7.064757197108743</t>
  </si>
  <si>
    <t xml:space="preserve"> 110.4704055655975</t>
  </si>
  <si>
    <t>C235W</t>
  </si>
  <si>
    <t>C235X</t>
  </si>
  <si>
    <t>-7.034011645735754</t>
  </si>
  <si>
    <t xml:space="preserve"> 110.54661241674347</t>
  </si>
  <si>
    <t>C235Z</t>
  </si>
  <si>
    <t>C2361</t>
  </si>
  <si>
    <t>-6.944062189719025</t>
  </si>
  <si>
    <t xml:space="preserve"> 110.11318280748692</t>
  </si>
  <si>
    <t>C2362</t>
  </si>
  <si>
    <t>-7.541903393375327</t>
  </si>
  <si>
    <t xml:space="preserve"> 110.91619737344033</t>
  </si>
  <si>
    <t>C2365</t>
  </si>
  <si>
    <t>-7.06846776086877</t>
  </si>
  <si>
    <t xml:space="preserve"> 110.95412680433189</t>
  </si>
  <si>
    <t>C2366</t>
  </si>
  <si>
    <t>-7.197303237815042</t>
  </si>
  <si>
    <t xml:space="preserve"> 110.42772092653351</t>
  </si>
  <si>
    <t>C236A</t>
  </si>
  <si>
    <t>C236B</t>
  </si>
  <si>
    <t>-6.918467147740296</t>
  </si>
  <si>
    <t xml:space="preserve"> 111.43814158225962</t>
  </si>
  <si>
    <t>C236C</t>
  </si>
  <si>
    <t>-6.955241668385401</t>
  </si>
  <si>
    <t xml:space="preserve"> 109.74459306733846</t>
  </si>
  <si>
    <t>C236E</t>
  </si>
  <si>
    <t>-6.689161534734553</t>
  </si>
  <si>
    <t xml:space="preserve"> 110.71656563450674</t>
  </si>
  <si>
    <t>C236H</t>
  </si>
  <si>
    <t>-6.80401832215516</t>
  </si>
  <si>
    <t xml:space="preserve"> 110.7936115688647</t>
  </si>
  <si>
    <t>C236I</t>
  </si>
  <si>
    <t>-6.9541474948999555</t>
  </si>
  <si>
    <t xml:space="preserve"> 110.41361753088589</t>
  </si>
  <si>
    <t>C236L</t>
  </si>
  <si>
    <t>-7.618160</t>
  </si>
  <si>
    <t xml:space="preserve"> 111.002931</t>
  </si>
  <si>
    <t>C236N</t>
  </si>
  <si>
    <t>-6.938206</t>
  </si>
  <si>
    <t xml:space="preserve"> 110.255955</t>
  </si>
  <si>
    <t>C236Q</t>
  </si>
  <si>
    <t>-6.901501</t>
  </si>
  <si>
    <t xml:space="preserve"> 108.889082</t>
  </si>
  <si>
    <t>C236R</t>
  </si>
  <si>
    <t>-6.8677755</t>
  </si>
  <si>
    <t xml:space="preserve"> 109.2043991</t>
  </si>
  <si>
    <t>C236S</t>
  </si>
  <si>
    <t>-6.7381058</t>
  </si>
  <si>
    <t xml:space="preserve"> 111.0850120</t>
  </si>
  <si>
    <t>C236T</t>
  </si>
  <si>
    <t>-6.7649350</t>
  </si>
  <si>
    <t xml:space="preserve"> 110.8401428</t>
  </si>
  <si>
    <t>C236U</t>
  </si>
  <si>
    <t>-6.488101</t>
  </si>
  <si>
    <t xml:space="preserve"> 110.894957</t>
  </si>
  <si>
    <t>C236V</t>
  </si>
  <si>
    <t>-7.088136</t>
  </si>
  <si>
    <t xml:space="preserve"> 109.366094</t>
  </si>
  <si>
    <t>C236Y</t>
  </si>
  <si>
    <t>-7.373076002446788</t>
  </si>
  <si>
    <t xml:space="preserve"> 110.25989244903748</t>
  </si>
  <si>
    <t>C236Z</t>
  </si>
  <si>
    <t>C2371</t>
  </si>
  <si>
    <t>-7.530841968969348</t>
  </si>
  <si>
    <t xml:space="preserve"> 110.6046857226283</t>
  </si>
  <si>
    <t>C2376</t>
  </si>
  <si>
    <t>-7.137694</t>
  </si>
  <si>
    <t xml:space="preserve"> 111.59595</t>
  </si>
  <si>
    <t>C2377</t>
  </si>
  <si>
    <t>-6.5877812965066</t>
  </si>
  <si>
    <t xml:space="preserve"> 110.68826932999205</t>
  </si>
  <si>
    <t>C2378</t>
  </si>
  <si>
    <t>-6.7771826938344555</t>
  </si>
  <si>
    <t xml:space="preserve"> 110.99316312908816</t>
  </si>
  <si>
    <t>C2379</t>
  </si>
  <si>
    <t>C2380</t>
  </si>
  <si>
    <t>-6.929364493260338</t>
  </si>
  <si>
    <t xml:space="preserve"> 110.5492296456461</t>
  </si>
  <si>
    <t>C2382</t>
  </si>
  <si>
    <t>-6.891529695012401</t>
  </si>
  <si>
    <t xml:space="preserve"> 109.6113649388537</t>
  </si>
  <si>
    <t>C2386</t>
  </si>
  <si>
    <t>-6.872348520359612</t>
  </si>
  <si>
    <t xml:space="preserve"> 109.18660493723932</t>
  </si>
  <si>
    <t>C2387</t>
  </si>
  <si>
    <t>-7.066497626130187</t>
  </si>
  <si>
    <t xml:space="preserve"> 110.88139320691782</t>
  </si>
  <si>
    <t>C2388</t>
  </si>
  <si>
    <t>-7.007653439609758</t>
  </si>
  <si>
    <t xml:space="preserve"> 110.3603862717547</t>
  </si>
  <si>
    <t>C2390</t>
  </si>
  <si>
    <t>-6.884486845029401</t>
  </si>
  <si>
    <t xml:space="preserve"> 109.36593600523629</t>
  </si>
  <si>
    <t>C2392</t>
  </si>
  <si>
    <t>-7.589584944416301</t>
  </si>
  <si>
    <t xml:space="preserve"> 110.78778286339208</t>
  </si>
  <si>
    <t>C2393</t>
  </si>
  <si>
    <t>-6.957542312414145</t>
  </si>
  <si>
    <t xml:space="preserve"> 109.84173141552762</t>
  </si>
  <si>
    <t>C2394</t>
  </si>
  <si>
    <t>-7.355140144469036</t>
  </si>
  <si>
    <t xml:space="preserve"> 110.83585459175197</t>
  </si>
  <si>
    <t>C2397</t>
  </si>
  <si>
    <t>-6.938517794464102</t>
  </si>
  <si>
    <t xml:space="preserve"> 110.24971011022103</t>
  </si>
  <si>
    <t>C239D</t>
  </si>
  <si>
    <t>-7.091258350476699</t>
  </si>
  <si>
    <t xml:space="preserve"> 110.35873907481201</t>
  </si>
  <si>
    <t>C239F</t>
  </si>
  <si>
    <t>C239G</t>
  </si>
  <si>
    <t>-6.987455</t>
  </si>
  <si>
    <t xml:space="preserve"> 109.599251</t>
  </si>
  <si>
    <t>C239M</t>
  </si>
  <si>
    <t>-7.873473</t>
  </si>
  <si>
    <t xml:space="preserve"> 110.964249</t>
  </si>
  <si>
    <t>C239T</t>
  </si>
  <si>
    <t>-7.2732437</t>
  </si>
  <si>
    <t xml:space="preserve"> 110.3724235</t>
  </si>
  <si>
    <t>C239U</t>
  </si>
  <si>
    <t>-7.02468597426402</t>
  </si>
  <si>
    <t xml:space="preserve"> 110.88828595010148</t>
  </si>
  <si>
    <t>C239V</t>
  </si>
  <si>
    <t>-6.696236</t>
  </si>
  <si>
    <t xml:space="preserve"> 111.270419</t>
  </si>
  <si>
    <t>C239W</t>
  </si>
  <si>
    <t>-6.788024212859763</t>
  </si>
  <si>
    <t xml:space="preserve"> 111.03052722012218</t>
  </si>
  <si>
    <t>C239X</t>
  </si>
  <si>
    <t>-7.700003854923637</t>
  </si>
  <si>
    <t xml:space="preserve"> 110.917000500082</t>
  </si>
  <si>
    <t>C239Y</t>
  </si>
  <si>
    <t>-7.430902866390322</t>
  </si>
  <si>
    <t xml:space="preserve"> 111.05135161285966</t>
  </si>
  <si>
    <t>C239Z</t>
  </si>
  <si>
    <t>-7.485063618600583</t>
  </si>
  <si>
    <t xml:space="preserve"> 110.56859770035656</t>
  </si>
  <si>
    <t>C247F</t>
  </si>
  <si>
    <t>-8.234428</t>
  </si>
  <si>
    <t xml:space="preserve"> 111.072419</t>
  </si>
  <si>
    <t>C236W</t>
  </si>
  <si>
    <t>-7.369065</t>
  </si>
  <si>
    <t>111.111936</t>
  </si>
  <si>
    <t>C236X</t>
  </si>
  <si>
    <t>-7.069864385971852</t>
  </si>
  <si>
    <t xml:space="preserve"> 110.47542406483278</t>
  </si>
  <si>
    <t>C248V</t>
  </si>
  <si>
    <t>-6.787880</t>
  </si>
  <si>
    <t xml:space="preserve"> 111.704765</t>
  </si>
  <si>
    <t>C2450</t>
  </si>
  <si>
    <t>-7.344344</t>
  </si>
  <si>
    <t xml:space="preserve"> 112.758834</t>
  </si>
  <si>
    <t>C2451</t>
  </si>
  <si>
    <t>-7.749421</t>
  </si>
  <si>
    <t xml:space="preserve"> 112.033837</t>
  </si>
  <si>
    <t>C2454</t>
  </si>
  <si>
    <t>-7.678156</t>
  </si>
  <si>
    <t xml:space="preserve"> 112.94688</t>
  </si>
  <si>
    <t>C2455</t>
  </si>
  <si>
    <t>-8.039285</t>
  </si>
  <si>
    <t xml:space="preserve"> 112.610834</t>
  </si>
  <si>
    <t>C2456</t>
  </si>
  <si>
    <t>-7.242458</t>
  </si>
  <si>
    <t xml:space="preserve"> 112.694238</t>
  </si>
  <si>
    <t>C2458</t>
  </si>
  <si>
    <t>-7.910847799272267</t>
  </si>
  <si>
    <t xml:space="preserve"> 112.62114967993514</t>
  </si>
  <si>
    <t>C245B</t>
  </si>
  <si>
    <t>-7.096618</t>
  </si>
  <si>
    <t xml:space="preserve"> 113.818122</t>
  </si>
  <si>
    <t>C245C</t>
  </si>
  <si>
    <t>-7.557721</t>
  </si>
  <si>
    <t xml:space="preserve"> 112.557629</t>
  </si>
  <si>
    <t>C245E</t>
  </si>
  <si>
    <t>-7.901775</t>
  </si>
  <si>
    <t xml:space="preserve"> 112.026669</t>
  </si>
  <si>
    <t>C245G</t>
  </si>
  <si>
    <t>-7.876111</t>
  </si>
  <si>
    <t xml:space="preserve"> 112.688056</t>
  </si>
  <si>
    <t>C245J</t>
  </si>
  <si>
    <t>-7.879399</t>
  </si>
  <si>
    <t xml:space="preserve"> 111.485767</t>
  </si>
  <si>
    <t>C245K</t>
  </si>
  <si>
    <t>-7.564104</t>
  </si>
  <si>
    <t xml:space="preserve"> 112.325508</t>
  </si>
  <si>
    <t>C245L</t>
  </si>
  <si>
    <t>-7.615228</t>
  </si>
  <si>
    <t xml:space="preserve"> 112.711023</t>
  </si>
  <si>
    <t>C245M</t>
  </si>
  <si>
    <t>-7.814581</t>
  </si>
  <si>
    <t xml:space="preserve"> 112.082736</t>
  </si>
  <si>
    <t>C245N</t>
  </si>
  <si>
    <t>-7.093809742486803</t>
  </si>
  <si>
    <t xml:space="preserve"> 112.29774943332994</t>
  </si>
  <si>
    <t>C245R</t>
  </si>
  <si>
    <t>-7.444658</t>
  </si>
  <si>
    <t xml:space="preserve"> 112.683698</t>
  </si>
  <si>
    <t>C245U</t>
  </si>
  <si>
    <t>-7.006104</t>
  </si>
  <si>
    <t xml:space="preserve"> 112.134770</t>
  </si>
  <si>
    <t>C245V</t>
  </si>
  <si>
    <t>-7.490692</t>
  </si>
  <si>
    <t xml:space="preserve"> 112.625376</t>
  </si>
  <si>
    <t>C245X</t>
  </si>
  <si>
    <t>-8.109542</t>
  </si>
  <si>
    <t xml:space="preserve"> 112.015156</t>
  </si>
  <si>
    <t>C245Y</t>
  </si>
  <si>
    <t>C245Z</t>
  </si>
  <si>
    <t>C2461</t>
  </si>
  <si>
    <t>-7.410516</t>
  </si>
  <si>
    <t xml:space="preserve"> 111.475425</t>
  </si>
  <si>
    <t>C2466</t>
  </si>
  <si>
    <t>-7.994932</t>
  </si>
  <si>
    <t xml:space="preserve"> 112.627874</t>
  </si>
  <si>
    <t>C2467</t>
  </si>
  <si>
    <t>-7.543183</t>
  </si>
  <si>
    <t xml:space="preserve"> 112.409165</t>
  </si>
  <si>
    <t>C2468</t>
  </si>
  <si>
    <t>-8.096736</t>
  </si>
  <si>
    <t xml:space="preserve"> 112.181767</t>
  </si>
  <si>
    <t>C2469</t>
  </si>
  <si>
    <t>-8.0986306</t>
  </si>
  <si>
    <t xml:space="preserve"> 112.6722259</t>
  </si>
  <si>
    <t>C246B</t>
  </si>
  <si>
    <t>-7.004931</t>
  </si>
  <si>
    <t xml:space="preserve"> 112.133253</t>
  </si>
  <si>
    <t>C246C</t>
  </si>
  <si>
    <t>-7.136930062348222</t>
  </si>
  <si>
    <t xml:space="preserve"> 111.815230859782</t>
  </si>
  <si>
    <t>C246D</t>
  </si>
  <si>
    <t>-7.470842</t>
  </si>
  <si>
    <t xml:space="preserve"> 112.563256</t>
  </si>
  <si>
    <t>C246E</t>
  </si>
  <si>
    <t>-8.133317</t>
  </si>
  <si>
    <t xml:space="preserve"> 112.131956</t>
  </si>
  <si>
    <t>C246G</t>
  </si>
  <si>
    <t>-7.556448</t>
  </si>
  <si>
    <t xml:space="preserve"> 111.426822</t>
  </si>
  <si>
    <t>C246H</t>
  </si>
  <si>
    <t>C246I</t>
  </si>
  <si>
    <t>C246K</t>
  </si>
  <si>
    <t>-7.223962</t>
  </si>
  <si>
    <t xml:space="preserve"> 112.704172</t>
  </si>
  <si>
    <t>C246O</t>
  </si>
  <si>
    <t>-7.513285</t>
  </si>
  <si>
    <t xml:space="preserve"> 112.423458</t>
  </si>
  <si>
    <t>C246P</t>
  </si>
  <si>
    <t>-7.359936</t>
  </si>
  <si>
    <t xml:space="preserve"> 112.684075</t>
  </si>
  <si>
    <t>C246R</t>
  </si>
  <si>
    <t>-7.161548</t>
  </si>
  <si>
    <t xml:space="preserve"> 111.636965</t>
  </si>
  <si>
    <t>C246S</t>
  </si>
  <si>
    <t>-8.076419</t>
  </si>
  <si>
    <t xml:space="preserve"> 112.230128</t>
  </si>
  <si>
    <t>C246T</t>
  </si>
  <si>
    <t>C246U</t>
  </si>
  <si>
    <t>-7.402525</t>
  </si>
  <si>
    <t xml:space="preserve"> 111.399553</t>
  </si>
  <si>
    <t>C246Y</t>
  </si>
  <si>
    <t>-8.109422</t>
  </si>
  <si>
    <t xml:space="preserve"> 111.768678</t>
  </si>
  <si>
    <t>C246Z</t>
  </si>
  <si>
    <t>-7.588753</t>
  </si>
  <si>
    <t xml:space="preserve"> 112.203383</t>
  </si>
  <si>
    <t>C2470</t>
  </si>
  <si>
    <t>-7.120711</t>
  </si>
  <si>
    <t xml:space="preserve"> 112.460618</t>
  </si>
  <si>
    <t>C2471</t>
  </si>
  <si>
    <t>-7.576198</t>
  </si>
  <si>
    <t xml:space="preserve"> 112.182571</t>
  </si>
  <si>
    <t>C2472</t>
  </si>
  <si>
    <t>-7.593848</t>
  </si>
  <si>
    <t xml:space="preserve"> 112.126505</t>
  </si>
  <si>
    <t>C2475</t>
  </si>
  <si>
    <t>-7.62315</t>
  </si>
  <si>
    <t xml:space="preserve"> 112.815469</t>
  </si>
  <si>
    <t>C2476</t>
  </si>
  <si>
    <t>-7.739180</t>
  </si>
  <si>
    <t xml:space="preserve"> 112.778206</t>
  </si>
  <si>
    <t>C2479</t>
  </si>
  <si>
    <t>-7.088674</t>
  </si>
  <si>
    <t xml:space="preserve"> 112.333941</t>
  </si>
  <si>
    <t>C247A</t>
  </si>
  <si>
    <t>-7.471738</t>
  </si>
  <si>
    <t xml:space="preserve"> 111.429759</t>
  </si>
  <si>
    <t>C247B</t>
  </si>
  <si>
    <t>-7.653482</t>
  </si>
  <si>
    <t xml:space="preserve"> 112.289053</t>
  </si>
  <si>
    <t>C247C</t>
  </si>
  <si>
    <t>-7.219058</t>
  </si>
  <si>
    <t xml:space="preserve"> 113.425414</t>
  </si>
  <si>
    <t>C247D</t>
  </si>
  <si>
    <t>-7.164995227067908</t>
  </si>
  <si>
    <t xml:space="preserve"> 112.03860686145502</t>
  </si>
  <si>
    <t>C247E</t>
  </si>
  <si>
    <t>-7.131534</t>
  </si>
  <si>
    <t xml:space="preserve"> 112.614421</t>
  </si>
  <si>
    <t>C247N</t>
  </si>
  <si>
    <t>C247O</t>
  </si>
  <si>
    <t>-7.580972</t>
  </si>
  <si>
    <t xml:space="preserve"> 112.707181</t>
  </si>
  <si>
    <t>C247R</t>
  </si>
  <si>
    <t>-7.606632</t>
  </si>
  <si>
    <t xml:space="preserve"> 112.069667</t>
  </si>
  <si>
    <t>C247S</t>
  </si>
  <si>
    <t>-7.861833</t>
  </si>
  <si>
    <t xml:space="preserve"> 112.032598</t>
  </si>
  <si>
    <t>C247T</t>
  </si>
  <si>
    <t>-7.605224</t>
  </si>
  <si>
    <t xml:space="preserve"> 111.995285</t>
  </si>
  <si>
    <t>C247U</t>
  </si>
  <si>
    <t>-7.604799</t>
  </si>
  <si>
    <t xml:space="preserve"> 112.821906</t>
  </si>
  <si>
    <t>C247V</t>
  </si>
  <si>
    <t>-8.084844</t>
  </si>
  <si>
    <t xml:space="preserve"> 111.710347</t>
  </si>
  <si>
    <t>C2480</t>
  </si>
  <si>
    <t>-8.084375</t>
  </si>
  <si>
    <t xml:space="preserve"> 111.960667</t>
  </si>
  <si>
    <t>C2483</t>
  </si>
  <si>
    <t>-7.994983</t>
  </si>
  <si>
    <t xml:space="preserve"> 111.935994</t>
  </si>
  <si>
    <t>C2484</t>
  </si>
  <si>
    <t>-7.244113</t>
  </si>
  <si>
    <t xml:space="preserve"> 112.680575</t>
  </si>
  <si>
    <t>C2485</t>
  </si>
  <si>
    <t>-7.215497</t>
  </si>
  <si>
    <t xml:space="preserve"> 113.354633</t>
  </si>
  <si>
    <t>C2486</t>
  </si>
  <si>
    <t>-7.193696</t>
  </si>
  <si>
    <t xml:space="preserve"> 112.640634</t>
  </si>
  <si>
    <t>C2488</t>
  </si>
  <si>
    <t>-7.630655558798819</t>
  </si>
  <si>
    <t xml:space="preserve"> 111.90548419826348</t>
  </si>
  <si>
    <t>C2489</t>
  </si>
  <si>
    <t>-7.408351</t>
  </si>
  <si>
    <t xml:space="preserve"> 112.548823</t>
  </si>
  <si>
    <t>C248C</t>
  </si>
  <si>
    <t>-7.263894</t>
  </si>
  <si>
    <t xml:space="preserve"> 112.700346</t>
  </si>
  <si>
    <t>C248D</t>
  </si>
  <si>
    <t>-7.731780</t>
  </si>
  <si>
    <t xml:space="preserve"> 112.146857</t>
  </si>
  <si>
    <t>C248F</t>
  </si>
  <si>
    <t>-7.095391</t>
  </si>
  <si>
    <t xml:space="preserve"> 112.797434</t>
  </si>
  <si>
    <t>C248H</t>
  </si>
  <si>
    <t>-7.837187</t>
  </si>
  <si>
    <t xml:space="preserve"> 112.057940</t>
  </si>
  <si>
    <t>C248M</t>
  </si>
  <si>
    <t>-7.906068</t>
  </si>
  <si>
    <t xml:space="preserve"> 112.704817</t>
  </si>
  <si>
    <t>C248T</t>
  </si>
  <si>
    <t>-7.119203</t>
  </si>
  <si>
    <t xml:space="preserve"> 113.776259</t>
  </si>
  <si>
    <t>C248Y</t>
  </si>
  <si>
    <t>C2493</t>
  </si>
  <si>
    <t>-8.0484618</t>
  </si>
  <si>
    <t xml:space="preserve"> 112.6416889</t>
  </si>
  <si>
    <t>C2494</t>
  </si>
  <si>
    <t>-7.204770</t>
  </si>
  <si>
    <t xml:space="preserve"> 112.719843</t>
  </si>
  <si>
    <t>C2495</t>
  </si>
  <si>
    <t>C2496</t>
  </si>
  <si>
    <t>-7.552597</t>
  </si>
  <si>
    <t xml:space="preserve"> 111.697053</t>
  </si>
  <si>
    <t>C2498</t>
  </si>
  <si>
    <t>-7.834736</t>
  </si>
  <si>
    <t xml:space="preserve"> 111.483480</t>
  </si>
  <si>
    <t>C2499</t>
  </si>
  <si>
    <t>-7.672366</t>
  </si>
  <si>
    <t xml:space="preserve"> 111.399331</t>
  </si>
  <si>
    <t>C249A</t>
  </si>
  <si>
    <t>-7.616327244126836</t>
  </si>
  <si>
    <t xml:space="preserve"> 112.53687915865535</t>
  </si>
  <si>
    <t>C249D</t>
  </si>
  <si>
    <t>-8.115252880527068</t>
  </si>
  <si>
    <t xml:space="preserve"> 112.55809758943755</t>
  </si>
  <si>
    <t>C249F</t>
  </si>
  <si>
    <t>-7.199479</t>
  </si>
  <si>
    <t xml:space="preserve"> 112.639495</t>
  </si>
  <si>
    <t>C249H</t>
  </si>
  <si>
    <t>C249L</t>
  </si>
  <si>
    <t>-7.52564370591966</t>
  </si>
  <si>
    <t xml:space="preserve"> 112.69273662039366</t>
  </si>
  <si>
    <t>C2453</t>
  </si>
  <si>
    <t>-7.399250</t>
  </si>
  <si>
    <t xml:space="preserve"> 112.575398</t>
  </si>
  <si>
    <t>C245D</t>
  </si>
  <si>
    <t>-7.148921</t>
  </si>
  <si>
    <t xml:space="preserve"> 112.511915</t>
  </si>
  <si>
    <t>C245H</t>
  </si>
  <si>
    <t>-7.194263</t>
  </si>
  <si>
    <t xml:space="preserve"> 112.384222</t>
  </si>
  <si>
    <t>C245I</t>
  </si>
  <si>
    <t>-7.544951</t>
  </si>
  <si>
    <t xml:space="preserve"> 112.621281</t>
  </si>
  <si>
    <t>C245P</t>
  </si>
  <si>
    <t>-7.444172338972288</t>
  </si>
  <si>
    <t xml:space="preserve"> 112.73532700860581</t>
  </si>
  <si>
    <t>C245Q</t>
  </si>
  <si>
    <t>C245T</t>
  </si>
  <si>
    <t>-8.173969</t>
  </si>
  <si>
    <t xml:space="preserve"> 112.624678</t>
  </si>
  <si>
    <t>C245W</t>
  </si>
  <si>
    <t>-7.360130</t>
  </si>
  <si>
    <t xml:space="preserve"> 112.585886</t>
  </si>
  <si>
    <t>C2462</t>
  </si>
  <si>
    <t>C246F</t>
  </si>
  <si>
    <t>-7.191420</t>
  </si>
  <si>
    <t xml:space="preserve"> 111.921586</t>
  </si>
  <si>
    <t>C246L</t>
  </si>
  <si>
    <t>-7.173821</t>
  </si>
  <si>
    <t xml:space="preserve"> 112.621314</t>
  </si>
  <si>
    <t>C246M</t>
  </si>
  <si>
    <t>-7.101840</t>
  </si>
  <si>
    <t xml:space="preserve"> 112.216571</t>
  </si>
  <si>
    <t>C246Q</t>
  </si>
  <si>
    <t>-7.196141</t>
  </si>
  <si>
    <t xml:space="preserve"> 112.629921</t>
  </si>
  <si>
    <t>C2474</t>
  </si>
  <si>
    <t>-7.613171</t>
  </si>
  <si>
    <t xml:space="preserve"> 111.527942</t>
  </si>
  <si>
    <t>C247Q</t>
  </si>
  <si>
    <t>-7.670428</t>
  </si>
  <si>
    <t xml:space="preserve"> 111.913203</t>
  </si>
  <si>
    <t>C248B</t>
  </si>
  <si>
    <t>-8.140534</t>
  </si>
  <si>
    <t xml:space="preserve"> 113.242978</t>
  </si>
  <si>
    <t>C248R</t>
  </si>
  <si>
    <t>C249E</t>
  </si>
  <si>
    <t>-7.90588</t>
  </si>
  <si>
    <t xml:space="preserve"> 112.71729</t>
  </si>
  <si>
    <t>C249I</t>
  </si>
  <si>
    <t>-6.971338408565502</t>
  </si>
  <si>
    <t xml:space="preserve"> 112.10299836275546</t>
  </si>
  <si>
    <t>C2490</t>
  </si>
  <si>
    <t>-7.793238</t>
  </si>
  <si>
    <t xml:space="preserve"> 113.327782</t>
  </si>
  <si>
    <t>C2491</t>
  </si>
  <si>
    <t>-7.7589737558548615</t>
  </si>
  <si>
    <t xml:space="preserve"> 113.19254063178077</t>
  </si>
  <si>
    <t>C2492</t>
  </si>
  <si>
    <t>-7.739237</t>
  </si>
  <si>
    <t xml:space="preserve"> 113.126384</t>
  </si>
  <si>
    <t>C245F</t>
  </si>
  <si>
    <t>-8.2004433</t>
  </si>
  <si>
    <t xml:space="preserve"> 113.544204</t>
  </si>
  <si>
    <t>C245O</t>
  </si>
  <si>
    <t>-7.8226191</t>
  </si>
  <si>
    <t xml:space="preserve"> 113.2272206</t>
  </si>
  <si>
    <t>C2465</t>
  </si>
  <si>
    <t>-8.169731</t>
  </si>
  <si>
    <t xml:space="preserve"> 113.692658</t>
  </si>
  <si>
    <t>C246N</t>
  </si>
  <si>
    <t>-7.971805</t>
  </si>
  <si>
    <t xml:space="preserve"> 113.799350</t>
  </si>
  <si>
    <t>C246X</t>
  </si>
  <si>
    <t>-8.222971</t>
  </si>
  <si>
    <t xml:space="preserve"> 113.153391</t>
  </si>
  <si>
    <t>C2477</t>
  </si>
  <si>
    <t>-8.235163</t>
  </si>
  <si>
    <t xml:space="preserve"> 113.574605</t>
  </si>
  <si>
    <t>C2482</t>
  </si>
  <si>
    <t>-8.052736</t>
  </si>
  <si>
    <t xml:space="preserve"> 113.775918</t>
  </si>
  <si>
    <t>C248G</t>
  </si>
  <si>
    <t>-7.734208</t>
  </si>
  <si>
    <t xml:space="preserve"> 113.735740</t>
  </si>
  <si>
    <t>C248J</t>
  </si>
  <si>
    <t>-8.105501</t>
  </si>
  <si>
    <t xml:space="preserve"> 113.255432</t>
  </si>
  <si>
    <t>C248U</t>
  </si>
  <si>
    <t>-8.228771512972376</t>
  </si>
  <si>
    <t xml:space="preserve"> 113.6559070662197</t>
  </si>
  <si>
    <t>C2497</t>
  </si>
  <si>
    <t>-7.692624</t>
  </si>
  <si>
    <t xml:space="preserve"> 114.053223</t>
  </si>
  <si>
    <t>C249G</t>
  </si>
  <si>
    <t>-8.209393692837825</t>
  </si>
  <si>
    <t xml:space="preserve"> 113.72607178688996</t>
  </si>
  <si>
    <t>C246W</t>
  </si>
  <si>
    <t>-8.335388</t>
  </si>
  <si>
    <t xml:space="preserve"> 114.248080</t>
  </si>
  <si>
    <t>C2473</t>
  </si>
  <si>
    <t>-8.135789</t>
  </si>
  <si>
    <t xml:space="preserve"> 114.400676</t>
  </si>
  <si>
    <t>C2478</t>
  </si>
  <si>
    <t>-8.133475</t>
  </si>
  <si>
    <t xml:space="preserve"> 114.397957</t>
  </si>
  <si>
    <t>C247K</t>
  </si>
  <si>
    <t>C247X</t>
  </si>
  <si>
    <t>-8.329530</t>
  </si>
  <si>
    <t xml:space="preserve"> 114.259605</t>
  </si>
  <si>
    <t>C2487</t>
  </si>
  <si>
    <t>-8.183396</t>
  </si>
  <si>
    <t xml:space="preserve"> 114.362509</t>
  </si>
  <si>
    <t>C249O</t>
  </si>
  <si>
    <t>-8.299063</t>
  </si>
  <si>
    <t xml:space="preserve"> 114.285424</t>
  </si>
  <si>
    <t>TLPG</t>
  </si>
  <si>
    <t>Cilacap</t>
  </si>
  <si>
    <t>-7.6906061009263755, 109.00491479981153</t>
  </si>
  <si>
    <t>Semarang (Opsico)</t>
  </si>
  <si>
    <t>-6.947545744355657, 110.41543086938337</t>
  </si>
  <si>
    <t>Semarang (PEL)</t>
  </si>
  <si>
    <t>-6.954949409362986, 110.42477658650012</t>
  </si>
  <si>
    <t>Rembang (Heksa Energi Mitraniaga)</t>
  </si>
  <si>
    <t>-6.6354616812159195, 111.54322497526385</t>
  </si>
  <si>
    <t>Perak</t>
  </si>
  <si>
    <t>-7.203989588819085, 112.71997688703587</t>
  </si>
  <si>
    <t>Gresik (Maspion Energy)</t>
  </si>
  <si>
    <t>-7.10843127026511, 112.62205219636796</t>
  </si>
  <si>
    <t>Gresik (Kilang Energi Nusantara)</t>
  </si>
  <si>
    <t>-7.1675232749073015, 112.66586852891187</t>
  </si>
  <si>
    <t>Banyuwangi (Bosowa)</t>
  </si>
  <si>
    <t>-8.170909490944169, 114.39241432423898</t>
  </si>
  <si>
    <t>Tuban</t>
  </si>
  <si>
    <t>-6.7669165329216625, 111.96375660594765</t>
  </si>
  <si>
    <t>Realisasi Thruput 2025 (MT)</t>
  </si>
  <si>
    <t>Depot FP Cilacap</t>
  </si>
  <si>
    <t>Terminal LPG Tanjung Mas</t>
  </si>
  <si>
    <t>Terminal LPG Temp PEL Semarang</t>
  </si>
  <si>
    <t>Terminal LPG Temporary Rembang</t>
  </si>
  <si>
    <t>Depot FP Tg.Perak Surabaya</t>
  </si>
  <si>
    <t>Terminal LPG Maspion</t>
  </si>
  <si>
    <t>Terminal LPG Banyuwangi</t>
  </si>
  <si>
    <t>Total</t>
  </si>
  <si>
    <t>Ship to Party</t>
  </si>
  <si>
    <t>Longitude, Latitude</t>
  </si>
  <si>
    <t>Longitude</t>
  </si>
  <si>
    <t>Latitude</t>
  </si>
  <si>
    <t>No</t>
  </si>
  <si>
    <t>Region</t>
  </si>
  <si>
    <t>Plant Code Delivery Point (SAP)</t>
  </si>
  <si>
    <t>Plant Code Delivery Point (Real)</t>
  </si>
  <si>
    <t>Type</t>
  </si>
  <si>
    <t>PSO/ NPSO</t>
  </si>
  <si>
    <t>Nama SPBE</t>
  </si>
  <si>
    <t>Kab/Kota</t>
  </si>
  <si>
    <t>Provinsi</t>
  </si>
  <si>
    <t>Alamat Lengkap</t>
  </si>
  <si>
    <t>Koordinat (Pengisian Koordinat wajib menggunakan format seperti contoh berikut:
'4.115781200156767, 98.20603885251938)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</si>
  <si>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</si>
  <si>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</si>
  <si>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</si>
  <si>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</si>
  <si>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</si>
  <si>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</si>
  <si>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</si>
  <si>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</si>
  <si>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</si>
  <si>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</si>
  <si>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</si>
  <si>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C226Q</t>
  </si>
  <si>
    <t>226Q</t>
  </si>
  <si>
    <t>P2</t>
  </si>
  <si>
    <t>PSO</t>
  </si>
  <si>
    <t>BUMI KARYA ANUGRAH</t>
  </si>
  <si>
    <t>Kab Lebak</t>
  </si>
  <si>
    <t>Banten</t>
  </si>
  <si>
    <t>Jl. Rangkas Bitung Pandeglang, Lebak-Banten</t>
  </si>
  <si>
    <t>-6.347147, 106.210552</t>
  </si>
  <si>
    <t>C226R</t>
  </si>
  <si>
    <t>226R</t>
  </si>
  <si>
    <t>LAKONI MITRA USAHA</t>
  </si>
  <si>
    <t>Jl. Ir.H Sutami Kp.Curug Tutul Desa Citeras kec.Rangkasbitung Kab.Lebak-Banten</t>
  </si>
  <si>
    <t>-6.339651, 106.319557</t>
  </si>
  <si>
    <t>Non Ops</t>
  </si>
  <si>
    <t>KARINDA</t>
  </si>
  <si>
    <t>Jl. Nasional III, Sukatani, Kec. Wanasalam, Kabupaten Lebak, Banten 42396</t>
  </si>
  <si>
    <t>-6.8005465,105.9306160</t>
  </si>
  <si>
    <t>C228N</t>
  </si>
  <si>
    <t>228N</t>
  </si>
  <si>
    <t>P1</t>
  </si>
  <si>
    <t>MULTI NIAGA KARUNIA</t>
  </si>
  <si>
    <t>Kab Pandeglang</t>
  </si>
  <si>
    <t>Jl. AMD, Kadumerak, Kec. Karang Tanjung, Kab Pandeglang, Banten</t>
  </si>
  <si>
    <t>-6.286559, 106.121342</t>
  </si>
  <si>
    <t>C22B2</t>
  </si>
  <si>
    <t>22B2</t>
  </si>
  <si>
    <t>MANGGAR MAS PRATAMA</t>
  </si>
  <si>
    <t xml:space="preserve">Jl. Kuranten, Kel. Seruni, Kec. Majasari, Pandeglang, Banten </t>
  </si>
  <si>
    <t>-6.3186280173370335, 106.08856073907718</t>
  </si>
  <si>
    <t>C226D</t>
  </si>
  <si>
    <t>226D</t>
  </si>
  <si>
    <t>TRASINDO SENTOSA</t>
  </si>
  <si>
    <t>Kab Serang</t>
  </si>
  <si>
    <t>Jl. Raya Serang Ds.Toyomerto Kel.Wanayasa Kec.Kramatwatu Kab.Serang-Banten</t>
  </si>
  <si>
    <t>-6.040476, 106.092144</t>
  </si>
  <si>
    <t>C227Y</t>
  </si>
  <si>
    <t>227Y</t>
  </si>
  <si>
    <t>ANUGERAH GAS UTAMA</t>
  </si>
  <si>
    <t>Jl. Raya Bojonegoro Ds.Terate Serang, Banten</t>
  </si>
  <si>
    <t>-6.006784416495405, 106.08882887200431</t>
  </si>
  <si>
    <t>C2257</t>
  </si>
  <si>
    <t>NPSO</t>
  </si>
  <si>
    <t>SUMBAHAN WIRAKARTIKA</t>
  </si>
  <si>
    <t>WANA MEKAR KREASINDO</t>
  </si>
  <si>
    <t>Gembor, Kec. Binuang, Kabupaten Serang, Banten</t>
  </si>
  <si>
    <t>-6.162427, 106.334704</t>
  </si>
  <si>
    <t>C226E</t>
  </si>
  <si>
    <t>226E</t>
  </si>
  <si>
    <t>GASINDO GRAHA UTAMA</t>
  </si>
  <si>
    <t>Kab Tangerang</t>
  </si>
  <si>
    <t>Jl. Raya Serang Km.32 Ds.Sumurbandung Kec.Jayanti Balaraja Kab.Tangerang</t>
  </si>
  <si>
    <t>-6.214895, 106.401247</t>
  </si>
  <si>
    <t>C226M</t>
  </si>
  <si>
    <t>226M</t>
  </si>
  <si>
    <t>KURNIA ABADI PRIMA</t>
  </si>
  <si>
    <t>Jl. Lingkar Selatan Kp.Jatake RT.001/002 Ds.Jatake Kec.Pagedangan Kab.Tangerang</t>
  </si>
  <si>
    <t>-6.31966, 106.591812</t>
  </si>
  <si>
    <t>C227W</t>
  </si>
  <si>
    <t>227W</t>
  </si>
  <si>
    <t>SEKAWAN MITRA KALINDO</t>
  </si>
  <si>
    <t>Jl. Raya PLP Curug No.49 Km.3,5 Tangerang</t>
  </si>
  <si>
    <t>-6.2491813751984955, 106.56416756707185</t>
  </si>
  <si>
    <t>C2287</t>
  </si>
  <si>
    <t>PRIMA AUTO SEJAHTERA</t>
  </si>
  <si>
    <t>Kawasan Industri Mekar Jaya (Ry. Mauk KM 7) Jl. Karet Jaya No. 38, Cadas, Sepatan, Tangerang</t>
  </si>
  <si>
    <t>-6.1370846250515205, 106.56923227430762</t>
  </si>
  <si>
    <t>C228S</t>
  </si>
  <si>
    <t>228S</t>
  </si>
  <si>
    <t>ARTHAJAYA GAS</t>
  </si>
  <si>
    <t>Jl. Raya Lingkar Selatan, Desa Caringin, Kec Legok, Kab Tangerang</t>
  </si>
  <si>
    <t>-6.318196, 106.587682</t>
  </si>
  <si>
    <t>C2297</t>
  </si>
  <si>
    <t>ATENA BANGUN MANDIRI</t>
  </si>
  <si>
    <t>Jl. Raya Mauk KM.14 Desa Kosambi Kec. Sukadiri Tangerang</t>
  </si>
  <si>
    <t>-6.102703, 106.562882</t>
  </si>
  <si>
    <t>C229L</t>
  </si>
  <si>
    <t>229L</t>
  </si>
  <si>
    <t>AMANAH INDO GAS</t>
  </si>
  <si>
    <t>Kp. Peutey RT.01/RW.03 , Desa Tobat, Kec. Balaraja, Kab. Tangerang 15610</t>
  </si>
  <si>
    <t>-6.195008, 106.436909</t>
  </si>
  <si>
    <t>C229M</t>
  </si>
  <si>
    <t>229M</t>
  </si>
  <si>
    <t>PERNADI WIRAPERKASA</t>
  </si>
  <si>
    <t>Jl. Tipar Raya Rt. 01/03, Desa Tiparaya, Tigaraksa</t>
  </si>
  <si>
    <t>-6.318943, 106.482571</t>
  </si>
  <si>
    <t>C229X</t>
  </si>
  <si>
    <t>229X</t>
  </si>
  <si>
    <t>SUMBER KARYA INSANI</t>
  </si>
  <si>
    <t>Jl. Raya Rajeg Psr. Kemis, Kp. BT Nunggal, Kel. Sukatani, Kec. Rajeg, Tangerang</t>
  </si>
  <si>
    <t>-6.140869, 106.526581</t>
  </si>
  <si>
    <t>C2264</t>
  </si>
  <si>
    <t>KARYABHAKTI INSANUTAMA</t>
  </si>
  <si>
    <t>C228R</t>
  </si>
  <si>
    <t>228R</t>
  </si>
  <si>
    <t>ARTHAJAYA GASINDO</t>
  </si>
  <si>
    <t>C225E</t>
  </si>
  <si>
    <t>225E</t>
  </si>
  <si>
    <t>PUTRA PANCA GASINDO</t>
  </si>
  <si>
    <t>Kawasan Millenium Industrial Estate Jl.Millenium Raya Blok F2 No.1 Tangerang</t>
  </si>
  <si>
    <t>-6.253387, 106.498777</t>
  </si>
  <si>
    <t>C228A</t>
  </si>
  <si>
    <t>228A</t>
  </si>
  <si>
    <t>NOVEMBER AGUNG GUMELAR</t>
  </si>
  <si>
    <t>Jl. Raya Legok Karawaci No.112 Kel.Bojong Nangka Kec.Kelapa Dua Kab.Tangerang Banten</t>
  </si>
  <si>
    <t>-6.251835, 106.607584</t>
  </si>
  <si>
    <t>C226X</t>
  </si>
  <si>
    <t>226X</t>
  </si>
  <si>
    <t>DARMA PUTRA LESTARI</t>
  </si>
  <si>
    <t>Jl. Lingkar Selatan, Ds.Jatake Kec.Pagedangan Kab.Tangerang-Banten</t>
  </si>
  <si>
    <t>-6.326474, 106.593921</t>
  </si>
  <si>
    <t>C227C</t>
  </si>
  <si>
    <t>227C</t>
  </si>
  <si>
    <t>SATRIA GASINDO MANDIRI</t>
  </si>
  <si>
    <t>Jl. Raya Kramat Desa Sukawali Kec.Paku Haji Kab.Tangerang-Banten</t>
  </si>
  <si>
    <t>-6.037723, 106.591812</t>
  </si>
  <si>
    <t>SUMBER KARYA INSANI PUTRA</t>
  </si>
  <si>
    <t>Sukatani, Kec. Rajeg, Kabupaten Tangerang, Banten</t>
  </si>
  <si>
    <t>-6.1407831, 106.5268583</t>
  </si>
  <si>
    <t>C22D8</t>
  </si>
  <si>
    <t>22D8</t>
  </si>
  <si>
    <t>ELANG BANTEN MAKMUR PERKASA</t>
  </si>
  <si>
    <t>Kp.Pabuaran RT.06, RW.04, Jeungjing, Kec. Cisoka, Kabupaten Tangerang, Banten</t>
  </si>
  <si>
    <t>-6.286237, 106.448893</t>
  </si>
  <si>
    <t>C225Z</t>
  </si>
  <si>
    <t>225Z</t>
  </si>
  <si>
    <t>PATRA TRADING TANJUNG GEREM</t>
  </si>
  <si>
    <t>Kota Cilegon</t>
  </si>
  <si>
    <t>Terminal transit Tg.Gerem, Banten</t>
  </si>
  <si>
    <t>-5.972839, 105.997735</t>
  </si>
  <si>
    <t>C226F</t>
  </si>
  <si>
    <t>226F</t>
  </si>
  <si>
    <t>ERAWAN MULTI PERKASA ABADI</t>
  </si>
  <si>
    <t>Kota Serang</t>
  </si>
  <si>
    <t>Jl. Raya Serang-Pandeglang Kp.Waru km.5</t>
  </si>
  <si>
    <t>-6.183548, 106.147003</t>
  </si>
  <si>
    <t>C228U</t>
  </si>
  <si>
    <t>228U</t>
  </si>
  <si>
    <t>AL LATIEF GAS MULIA</t>
  </si>
  <si>
    <t>Kota Tangerang</t>
  </si>
  <si>
    <t>Jl. Hussein Sastranegara No. 165 Jurumudi, Kec. Benda - Tangerang</t>
  </si>
  <si>
    <t>-6.140235, 106.685593</t>
  </si>
  <si>
    <t>C22C8</t>
  </si>
  <si>
    <t>22C8</t>
  </si>
  <si>
    <t>PACIFIC ENERGY NUSANTARA</t>
  </si>
  <si>
    <t>Jl. Pajajaran 10 No.68H, RT.5/RW.2, Gandasari, Kec. Jatiuwung, Kota Tangerang, Banten 15137</t>
  </si>
  <si>
    <t>-6.217729684888263, 106.58504882711549</t>
  </si>
  <si>
    <t>C225F</t>
  </si>
  <si>
    <t>225F</t>
  </si>
  <si>
    <t>PENTA SINERGI INVESTAMA</t>
  </si>
  <si>
    <t>Kota Tangerang Selatan</t>
  </si>
  <si>
    <t>Jl. Pala 1 No.45 Pondok Cabe Udik - Kec.Pamulang Kab.Tangerang</t>
  </si>
  <si>
    <t>-6.352604, 106.765593</t>
  </si>
  <si>
    <t>C2293</t>
  </si>
  <si>
    <t>INDAH SRI REJEKI (TANGERANG SELATAN)</t>
  </si>
  <si>
    <t>Jl. Raya BSD Ciater Barat No. 3 RT 01/01, Serpong, Tangerang Selatan</t>
  </si>
  <si>
    <t>-6.329334, 106.684636</t>
  </si>
  <si>
    <t>C229B</t>
  </si>
  <si>
    <t>229B</t>
  </si>
  <si>
    <t>USAHA GAS MANDIRI</t>
  </si>
  <si>
    <t>Jl. R.E Martadinata, Ciputat, Tangerang Selatan</t>
  </si>
  <si>
    <t>-6.333245, 106.749676</t>
  </si>
  <si>
    <t>C229E</t>
  </si>
  <si>
    <t>229E</t>
  </si>
  <si>
    <t>RADEKATAMA PIRANTINUSA</t>
  </si>
  <si>
    <t>Jl. Pamulang II, RT/RW 01/03 Desa Pondok Benda, Tangerang Selatan</t>
  </si>
  <si>
    <t>-6.341776, 106.711565</t>
  </si>
  <si>
    <t>C224D</t>
  </si>
  <si>
    <t>224D</t>
  </si>
  <si>
    <t>INDAH SRI REJEKI (CIATER)</t>
  </si>
  <si>
    <t>C225V</t>
  </si>
  <si>
    <t>225V</t>
  </si>
  <si>
    <t>INDAH SURYA KENCANA</t>
  </si>
  <si>
    <t>Jalan Cendrawasih, Sawah, Ciputat, Tangerang, Banten</t>
  </si>
  <si>
    <t>-6.290355, 106.731215</t>
  </si>
  <si>
    <t>C227T</t>
  </si>
  <si>
    <t>227T</t>
  </si>
  <si>
    <t>SADIKUN LPG 3 KG (JAKARTA BARAT)</t>
  </si>
  <si>
    <t>Kota Jakarta Barat</t>
  </si>
  <si>
    <t>DKI Jakarta</t>
  </si>
  <si>
    <t>Jl. Raya Serengseng No.62 Kebon Jeruk Jakarta Barat</t>
  </si>
  <si>
    <t>-6.215786, 106.760177</t>
  </si>
  <si>
    <t>C227Z</t>
  </si>
  <si>
    <t>227Z</t>
  </si>
  <si>
    <t>ZIEKA PUTRA UTAMA</t>
  </si>
  <si>
    <t>Jl. Raya Kayu Besar No.8 Cengkareng Jakarta Barat</t>
  </si>
  <si>
    <t>-6.123906, 106.734114</t>
  </si>
  <si>
    <t>C2251</t>
  </si>
  <si>
    <t>SINAR MUTIARA INDAH (JAKARTA BARAT)</t>
  </si>
  <si>
    <t>C2253</t>
  </si>
  <si>
    <t>DASTRACO SELARAS</t>
  </si>
  <si>
    <t>C226L</t>
  </si>
  <si>
    <t>226L</t>
  </si>
  <si>
    <t>PRIMA ENERGI PERSADA</t>
  </si>
  <si>
    <t>Jl. Outer Ring Road Lingkar Barat Kembangan Utara-Jakarta Barat</t>
  </si>
  <si>
    <t>-6.159038845617011, 106.68813584230311</t>
  </si>
  <si>
    <t>LAJU PERKASA GASJAYA</t>
  </si>
  <si>
    <t>Jl. Peternakan II No.16, RT.6/RW.7, Kapuk, Kecamatan Cengkareng, Kota Jakarta Barat, Daerah Khusus Ibukota Jakarta</t>
  </si>
  <si>
    <t>-6.140911, 106.758308</t>
  </si>
  <si>
    <t>C2249</t>
  </si>
  <si>
    <t>BUMI MITRA WITRA</t>
  </si>
  <si>
    <t>Kota Jakarta Selatan</t>
  </si>
  <si>
    <t xml:space="preserve">Jl. Ulujami Raya Kel Pesanggrahan Kec. Pesanggran, Jakarta Selatan </t>
  </si>
  <si>
    <t>-6.254189, 106.765105</t>
  </si>
  <si>
    <t>C22B0</t>
  </si>
  <si>
    <t>22B0</t>
  </si>
  <si>
    <t>JAYA ABADI PUTRATAMA</t>
  </si>
  <si>
    <t>Jl. R Moch Kahfi T RT 009/RW 004, Kelurahan Cipedak, Kecamatan Jagakarsa, Jakarta Selatan</t>
  </si>
  <si>
    <t>-6.354816173437322, 106.80208312761378</t>
  </si>
  <si>
    <t>C228E</t>
  </si>
  <si>
    <t>228E</t>
  </si>
  <si>
    <t>BATAVIA JAYA ENERGI</t>
  </si>
  <si>
    <t>Kota Jakarta Timur</t>
  </si>
  <si>
    <t>Jl. Dr.Sumarno/Sentra Primer Timur Kel.Pulo Gebang Kec.Cakung Jakarta Timur</t>
  </si>
  <si>
    <t>-6.206896, 106.953481</t>
  </si>
  <si>
    <t>C22C7</t>
  </si>
  <si>
    <t>22C7</t>
  </si>
  <si>
    <t>JAKARTA UTILITAS PROPERTINDO</t>
  </si>
  <si>
    <t>Blok BB 12 - 13 Kawasan Industri Pulo Gadung</t>
  </si>
  <si>
    <t>-6.211982726178935, 106.91341327230205</t>
  </si>
  <si>
    <t>C225T</t>
  </si>
  <si>
    <t>225T</t>
  </si>
  <si>
    <t>INTIM WIRA ENERGI</t>
  </si>
  <si>
    <t>RT.2/RW.5, Cilangkap, Kec. Cipayung, Kota Jakarta Timur, Daerah Khusus Ibukota Jakarta</t>
  </si>
  <si>
    <t>-6.339903, 106.899367</t>
  </si>
  <si>
    <t>C225D</t>
  </si>
  <si>
    <t>225D</t>
  </si>
  <si>
    <t>PRAHAJA PANCA VANO</t>
  </si>
  <si>
    <t>Kota Jakarta Utara</t>
  </si>
  <si>
    <t>Kawasan Berikat Nusantara Jl. Sarang Bangau Kav.C3-4.18 Kel.Marunda Kec.Cilincing Jakarta Utara</t>
  </si>
  <si>
    <t>-6.111742, 106.948487</t>
  </si>
  <si>
    <t>C227K</t>
  </si>
  <si>
    <t>227K</t>
  </si>
  <si>
    <t>PETRO DHARMA PRATAMA</t>
  </si>
  <si>
    <t>Jl. Ancol Barat I No.1 Ancol Jakarta Utara</t>
  </si>
  <si>
    <t>-6.129759, 106.819398</t>
  </si>
  <si>
    <t>C227L</t>
  </si>
  <si>
    <t>227L</t>
  </si>
  <si>
    <t>SATRIA MANDALA SAKTI</t>
  </si>
  <si>
    <t>Jl. Pegangsaan II No.29 Kelapa Gading Jakarta Utara</t>
  </si>
  <si>
    <t>-6.13398595100742, 106.91507403798713</t>
  </si>
  <si>
    <t>C227S</t>
  </si>
  <si>
    <t>227S</t>
  </si>
  <si>
    <t>SURYANDRA CILACAP JAYA</t>
  </si>
  <si>
    <t>Jl. Ambon Blok A I No.1 Marunda Jakarta Utara</t>
  </si>
  <si>
    <t>-6.100286173253173, 106.94581856422062</t>
  </si>
  <si>
    <t>C2254</t>
  </si>
  <si>
    <t>NUR ALAM PERTIWI SAKTI</t>
  </si>
  <si>
    <t>C2255</t>
  </si>
  <si>
    <t>ERIKS DHARMASENTOSA</t>
  </si>
  <si>
    <t>C2256</t>
  </si>
  <si>
    <t>SURYANDRA NUSA BHAKTI</t>
  </si>
  <si>
    <t>C229U</t>
  </si>
  <si>
    <t>229U</t>
  </si>
  <si>
    <t>MESINDO TEKNINESIA</t>
  </si>
  <si>
    <t>Jl. Rorotan IV 169 Cilincing, Jakarta Utara</t>
  </si>
  <si>
    <t>-6.153554076260968, 106.95445873515008</t>
  </si>
  <si>
    <t>C229K</t>
  </si>
  <si>
    <t>229K</t>
  </si>
  <si>
    <t>ELNUSA PETROFIN (JAKARTA UTARA)</t>
  </si>
  <si>
    <t>Jl. Raya Plumpang No.999, Semper, Jakarta Utara</t>
  </si>
  <si>
    <t>-6.131987305791512, 106.89789329834508</t>
  </si>
  <si>
    <t>C22A8</t>
  </si>
  <si>
    <t>22A8</t>
  </si>
  <si>
    <t>JAKARTA PROPERTINDO</t>
  </si>
  <si>
    <t xml:space="preserve">Jl. Raya Kapuk Muara, komplek Duta Harapan Indah, Kel. Kapuk Muara, Kec. Penjaringan, Jakarta Utara </t>
  </si>
  <si>
    <t>-6.135784, 106.77048</t>
  </si>
  <si>
    <t>C22C6</t>
  </si>
  <si>
    <t>22C6</t>
  </si>
  <si>
    <t>NIRWANA KREASI PERSADA</t>
  </si>
  <si>
    <t>Jl Muara Baru Raya No. 7, Penjaringan, Jakarta Utara</t>
  </si>
  <si>
    <t>-6.121215520461741, 106.80422393496436</t>
  </si>
  <si>
    <t>C2281</t>
  </si>
  <si>
    <t>PATRA TRADING PLUMPANG</t>
  </si>
  <si>
    <t>Jl. Yos Sudarso  Jembatan Tiga</t>
  </si>
  <si>
    <t>-6.137248422252408, 106.90211675414021</t>
  </si>
  <si>
    <t>C22C0</t>
  </si>
  <si>
    <t>22C0</t>
  </si>
  <si>
    <t>PATRA TRADING TANJUNG PRIOK</t>
  </si>
  <si>
    <t>Jl. Jampea No. 1. Tanjung Priok. Kodya Jakarta Utara</t>
  </si>
  <si>
    <t>-6.107456, 106.902265</t>
  </si>
  <si>
    <t>C2241</t>
  </si>
  <si>
    <t>BUDHI HASTA JAYANTARA</t>
  </si>
  <si>
    <t>Kab Bandung</t>
  </si>
  <si>
    <t>Jawa Barat</t>
  </si>
  <si>
    <t>Jalan Lingkar Majalaya (Cicalengka-Majalaya), Ds. Bojong, Bandung</t>
  </si>
  <si>
    <t>-7.03503, 107.77741</t>
  </si>
  <si>
    <t>C225K</t>
  </si>
  <si>
    <t>225K</t>
  </si>
  <si>
    <t>WIRABANGUN SARANA</t>
  </si>
  <si>
    <t>Jl. Pamegarsari 16 Moch Ramdhan Bandung 40252</t>
  </si>
  <si>
    <t>-6.97149, 107.6403</t>
  </si>
  <si>
    <t>C226N</t>
  </si>
  <si>
    <t>226N</t>
  </si>
  <si>
    <t>WAHANA PANCA KARYA</t>
  </si>
  <si>
    <t>Komp.Tri Kencana Kav.6-7.Jl.Soreang-Kopo km.11 Ds.Cilampeni Kec.Ketapang Kab.Bandung</t>
  </si>
  <si>
    <t>-6.987683370379354, 107.55542518445884</t>
  </si>
  <si>
    <t>C226V</t>
  </si>
  <si>
    <t>226V</t>
  </si>
  <si>
    <t>BERKAT GAS MITRA SELARAS</t>
  </si>
  <si>
    <t>Jl. Raya Rancaekek Km.28 Ds.Nanjung Mekar Kec.Rancaekek Kab.Bandung</t>
  </si>
  <si>
    <t>-6.967957, 107.823182</t>
  </si>
  <si>
    <t>C227A</t>
  </si>
  <si>
    <t>227A</t>
  </si>
  <si>
    <t>SAMPURNA GAS</t>
  </si>
  <si>
    <t>Jl. Raya Cileunyi-Rancaekek No.2 Km.19,5 Bandung</t>
  </si>
  <si>
    <t>-6.942898, 107.755135</t>
  </si>
  <si>
    <t>C227B</t>
  </si>
  <si>
    <t>227B</t>
  </si>
  <si>
    <t>SWARNA BHAKTI UTAMA</t>
  </si>
  <si>
    <t>Jl. Raya Bypass Bandung-Garut Km.25 Kel.Cicalengka Wetan Kec.Cicalengka Kab.Bandung</t>
  </si>
  <si>
    <t>-6.99148281, 107.849841</t>
  </si>
  <si>
    <t>C227V</t>
  </si>
  <si>
    <t>227V</t>
  </si>
  <si>
    <t>CICALENGKA ENERGI MITRA</t>
  </si>
  <si>
    <t>Raya Nagreg no.729 Km.34 Cicalengka, Bandung</t>
  </si>
  <si>
    <t>-7.00646, 107.86531</t>
  </si>
  <si>
    <t>C228P</t>
  </si>
  <si>
    <t>228P</t>
  </si>
  <si>
    <t>MITRA BARU BANGUN SEJAHTERA</t>
  </si>
  <si>
    <t>Jl. Raya Banjaran-Soreang, Kp. Kamasan RT/RW 05/02. Desa Kamasan, Kec. Banjaran, Kab. Bandung</t>
  </si>
  <si>
    <t>-7.04515, 107.57421</t>
  </si>
  <si>
    <t>C2299</t>
  </si>
  <si>
    <t>PUTERAMAS ENERGI</t>
  </si>
  <si>
    <t>Jl. Buah Dua RT 04/04 Desa Rancaekek Wetan Kec.Rancaekek Kab.Bandung</t>
  </si>
  <si>
    <t>-6.95383, 107.75995</t>
  </si>
  <si>
    <t>C229F</t>
  </si>
  <si>
    <t>229F</t>
  </si>
  <si>
    <t>CAHAYA REJEKI GASINDO</t>
  </si>
  <si>
    <t>Jl. By. Pass Nagreg Km. 29 Cicalengka, Kab. Bandung</t>
  </si>
  <si>
    <t>-6.97596, 107.83934</t>
  </si>
  <si>
    <t>C22A3</t>
  </si>
  <si>
    <t>22A3</t>
  </si>
  <si>
    <t>JABAR ENERGI</t>
  </si>
  <si>
    <t>Jl. Nasional III, Gunungmasigit, Kec. Cipatat, Kabupaten Bandung Barat, Jawa Barat</t>
  </si>
  <si>
    <t>-6.831274238136265, 107.44223507611783</t>
  </si>
  <si>
    <t>C2265</t>
  </si>
  <si>
    <t>GASINDO CITRA PERWIRA</t>
  </si>
  <si>
    <t>C229I</t>
  </si>
  <si>
    <t>229I</t>
  </si>
  <si>
    <t>PUTERAMAS ENERGI BIRU</t>
  </si>
  <si>
    <t>C2244</t>
  </si>
  <si>
    <t>JAVACONS</t>
  </si>
  <si>
    <t>Jl. Raya Patrol Soreang, Ds._Jelegong, Kec. Kutowaringin, Kab. Bandung</t>
  </si>
  <si>
    <t>-6.95141, 107.52629</t>
  </si>
  <si>
    <t>C227I</t>
  </si>
  <si>
    <t>227I</t>
  </si>
  <si>
    <t>RADEKATAMA MITRA</t>
  </si>
  <si>
    <t>Jl.Raya Siliwangi Km.13 Kp.Andir Rt/w.004/005 Ds.Manggahang Kec.Baleendah, Bandung</t>
  </si>
  <si>
    <t>-7.011547158487721, 107.64430384461609</t>
  </si>
  <si>
    <t>C225Q</t>
  </si>
  <si>
    <t>225Q</t>
  </si>
  <si>
    <t>MUSTIKA FORTUNA ABADI</t>
  </si>
  <si>
    <t>Kab Bandung Barat</t>
  </si>
  <si>
    <t>Jl. Raya Padalarang No. 463 Kab. Bandung Barat - Jawa Barat</t>
  </si>
  <si>
    <t>-6.84834, 107.49134</t>
  </si>
  <si>
    <t>C227H</t>
  </si>
  <si>
    <t>227H</t>
  </si>
  <si>
    <t>KINARYA INTI UTAMA</t>
  </si>
  <si>
    <t>Desa Giriasih 16 C, Batujajar, Kabupaten Bandung Barat</t>
  </si>
  <si>
    <t>-6.898078053482794, 107.49558878825525</t>
  </si>
  <si>
    <t>C229T</t>
  </si>
  <si>
    <t>229T</t>
  </si>
  <si>
    <t>PETROLIUM ALAM LESTARI</t>
  </si>
  <si>
    <t>Jl. Ladar No. 9 Desa Laksana Mekar, Kec. Padalarang, Bandung</t>
  </si>
  <si>
    <t>-6.88446, 107.50736</t>
  </si>
  <si>
    <t>C22B1</t>
  </si>
  <si>
    <t>22B1</t>
  </si>
  <si>
    <t>TUNAS SETIA</t>
  </si>
  <si>
    <t>Jl Raya Cipatik Kp Patrol RT 02/08 Desa Pataruman Kec. Cihampelas - Bandung Barat</t>
  </si>
  <si>
    <t>-6.950121657615794, 107.52205472109347</t>
  </si>
  <si>
    <t>C2275</t>
  </si>
  <si>
    <t>AMINDO SINAR NUSA</t>
  </si>
  <si>
    <t>C227E</t>
  </si>
  <si>
    <t>227E</t>
  </si>
  <si>
    <t>MUSTIKA FORTUNA ABADI SEJATI</t>
  </si>
  <si>
    <t>C2280</t>
  </si>
  <si>
    <t>PATRA TRADING PADALARANG</t>
  </si>
  <si>
    <t>Jl. Raya Padalarang Km. 16,5 Padalarang</t>
  </si>
  <si>
    <t>-6.84843, 107.49421</t>
  </si>
  <si>
    <t>C228W</t>
  </si>
  <si>
    <t>228W</t>
  </si>
  <si>
    <t>MITRA GAMMA ENERGI</t>
  </si>
  <si>
    <t>Blok Klara RT.02 RW.05, Desa Mandalawangi, Kec. Cipatat, Kab. Bandung Barat</t>
  </si>
  <si>
    <t>-6.835654259687771, 107.33938104283096</t>
  </si>
  <si>
    <t>C225S</t>
  </si>
  <si>
    <t>225S</t>
  </si>
  <si>
    <t>UKARMANDIRI MULYASARI</t>
  </si>
  <si>
    <t>Kab Bekasi</t>
  </si>
  <si>
    <t>Jl. Raya Babelan No.60, Kebalen, Kec. Babelan, Kabupaten Bekasi, Jawa Barat</t>
  </si>
  <si>
    <t>-6.181281696422509, 107.03914578655461</t>
  </si>
  <si>
    <t>C227J</t>
  </si>
  <si>
    <t>227J</t>
  </si>
  <si>
    <t>SAPTA ARTA SETIA</t>
  </si>
  <si>
    <t>Jl. Raya Ps. Setu, Lubangbuaya, Kec. Setu, Kabupaten Bekasi, Jawa Barat</t>
  </si>
  <si>
    <t>-6.331209, 107.04856</t>
  </si>
  <si>
    <t>C228C</t>
  </si>
  <si>
    <t>228C</t>
  </si>
  <si>
    <t>BRAINMARK ENERGY NUSANTARA</t>
  </si>
  <si>
    <t>Jl.Jend.Gatot Subroto No. 49</t>
  </si>
  <si>
    <t>-6.256278761410613, 107.15456652497768</t>
  </si>
  <si>
    <t>C228L</t>
  </si>
  <si>
    <t>228L</t>
  </si>
  <si>
    <t>ALFA KARYA SINERGI</t>
  </si>
  <si>
    <t>Jl. Raya Cibarusah, Kp. Cigutul, Kec Cibarusah, Kab Bekasi</t>
  </si>
  <si>
    <t>-6.42441287981408, 107.08724432310225</t>
  </si>
  <si>
    <t>C229G</t>
  </si>
  <si>
    <t>229G</t>
  </si>
  <si>
    <t>DHARMA WIRA SENTOSA</t>
  </si>
  <si>
    <t>Jl. Mt. Haryono-Setu,Bekasi, Taman Rahayu, Kec. Setu, Kabupaten Bekasi, Jawa Barat</t>
  </si>
  <si>
    <t>-6.369318, 107.009078</t>
  </si>
  <si>
    <t>C224A</t>
  </si>
  <si>
    <t>224A</t>
  </si>
  <si>
    <t>GASINDO JAYA PRATAMA</t>
  </si>
  <si>
    <t>Jl. Raya B.Bosih Kp. Selang Bojong RT 001/001, Kel. Wanasari, Kec. Cibitung, Kab. Bekasi</t>
  </si>
  <si>
    <t>-6.22992, 107.09267</t>
  </si>
  <si>
    <t>C2263</t>
  </si>
  <si>
    <t>BINA LOKA CIPTA</t>
  </si>
  <si>
    <t>C2246</t>
  </si>
  <si>
    <t>POWER PLUS NUSANTARA</t>
  </si>
  <si>
    <t>Ds. Kedungjaya, Kec. Babelan, Kab. Bekasi</t>
  </si>
  <si>
    <t>-6.131082, 107.027859</t>
  </si>
  <si>
    <t>C226W</t>
  </si>
  <si>
    <t>226W</t>
  </si>
  <si>
    <t>PRIMAGAS NYALA SEMPURNA</t>
  </si>
  <si>
    <t>Jl. Raya Karang Satria No.115 RT 03/02 Rawa Kalong Ds.Karang Satria Kec.Tambun Utara Bekasi</t>
  </si>
  <si>
    <t>-6.22418, 107.044301</t>
  </si>
  <si>
    <t>SUMBER MIGAS PANTARA</t>
  </si>
  <si>
    <t>Jl. Gandaria Blk. F/G No.9, Sumberjaya, Kec. Tambun Sel., Kabupaten Bekasi, Jawa Barat</t>
  </si>
  <si>
    <t>-6.213521, 107.081741</t>
  </si>
  <si>
    <t>C224F</t>
  </si>
  <si>
    <t>224F</t>
  </si>
  <si>
    <t>KOPONTEREN NIKMATUL JAWAHIR GAS (BOGOR)</t>
  </si>
  <si>
    <t>Kab Bogor</t>
  </si>
  <si>
    <t>Jl. Kol. Bustomi Burhanudin, RT.03/05, Ds. Warung Menteng, Kec. Cijeruk, Kab. Bogor</t>
  </si>
  <si>
    <t>-6.705979, 106.803297</t>
  </si>
  <si>
    <t>C225B</t>
  </si>
  <si>
    <t>225B</t>
  </si>
  <si>
    <t>SURYA ARTHA CHANYA</t>
  </si>
  <si>
    <t>Jl. Raya Parung Kec. Kemang Kab. Bogor</t>
  </si>
  <si>
    <t>-6.469923, 106.728034</t>
  </si>
  <si>
    <t>C225C</t>
  </si>
  <si>
    <t>225C</t>
  </si>
  <si>
    <t>RATU PETRO ENERGI</t>
  </si>
  <si>
    <t>Jl. Raya Parung-Gunung Sindur Kec. Gunung Sindur Kab. Bogor</t>
  </si>
  <si>
    <t>-6.390091, 106.710581</t>
  </si>
  <si>
    <t>C225I</t>
  </si>
  <si>
    <t>225I</t>
  </si>
  <si>
    <t>KENROPE UTAMA SENTUL</t>
  </si>
  <si>
    <t>Jl. Industri Tarikolot Kec. Citeureup Kab. Bogor Jawa Barat</t>
  </si>
  <si>
    <t>-6.504433, 106.883674</t>
  </si>
  <si>
    <t>C226P</t>
  </si>
  <si>
    <t>226P</t>
  </si>
  <si>
    <t>PRAKARSA TIGA WIRATAMA</t>
  </si>
  <si>
    <t>Jl. Raya Kemang Km. 3 Desa, Kec.Kemang Kab. Bogor</t>
  </si>
  <si>
    <t>-6.513163, 106.758029</t>
  </si>
  <si>
    <t>C2271</t>
  </si>
  <si>
    <t>GASINDO NUSANTARA</t>
  </si>
  <si>
    <t>Jl. Raya Narogong Km. 27, Klapa Nunggal Kab.Bogor</t>
  </si>
  <si>
    <t>-6.449469011787243, 106.93994154459207</t>
  </si>
  <si>
    <t>C227R</t>
  </si>
  <si>
    <t>227R</t>
  </si>
  <si>
    <t>INTI RAYA TRI ABADI</t>
  </si>
  <si>
    <t>Jl.Veteran II No.1 Teluk Pinang, Ciawi - Bogor</t>
  </si>
  <si>
    <t>-6.681404, 106.849865</t>
  </si>
  <si>
    <t>C2290</t>
  </si>
  <si>
    <t>REZEKI SUMBER GAS</t>
  </si>
  <si>
    <t>Jl. Raya Narogong Km. 25,9, Cileungsi Bogor</t>
  </si>
  <si>
    <t>-6.440721, 106.955091</t>
  </si>
  <si>
    <t>C2296</t>
  </si>
  <si>
    <t>GIAD INTI LESTARI</t>
  </si>
  <si>
    <t>Jl. Raya Jampang Desa Babakan Kec. Ciseeng Kab. Bogor</t>
  </si>
  <si>
    <t>-6.468394, 106.711959</t>
  </si>
  <si>
    <t>C229C</t>
  </si>
  <si>
    <t>229C</t>
  </si>
  <si>
    <t>AL FATH</t>
  </si>
  <si>
    <t>Jl. Raya Cileungsi - Jonggol Km 9,6 Cipeucong, kec. Cileungsi, kab. Bogor</t>
  </si>
  <si>
    <t>-6.435113, 107.046028</t>
  </si>
  <si>
    <t>C22B6</t>
  </si>
  <si>
    <t>22B6</t>
  </si>
  <si>
    <t>PUSPA DAMAYANTI</t>
  </si>
  <si>
    <t>Kampung Bojong Neros, Bogor</t>
  </si>
  <si>
    <t>-6.59333, 106.65344</t>
  </si>
  <si>
    <t>C2262</t>
  </si>
  <si>
    <t>IRA JAYA</t>
  </si>
  <si>
    <t>C229Y</t>
  </si>
  <si>
    <t>229Y</t>
  </si>
  <si>
    <t>GASINDO ALAM NUSANTARA</t>
  </si>
  <si>
    <t>C226I</t>
  </si>
  <si>
    <t>226I</t>
  </si>
  <si>
    <t>TIRTATAMA ELPINDO</t>
  </si>
  <si>
    <t>Jl. Raya Pemda Karadenan-Pasir Jambu No.1 Cibinong-Bogor</t>
  </si>
  <si>
    <t>-6.5280334451700215, 106.81080471625336</t>
  </si>
  <si>
    <t>C228B</t>
  </si>
  <si>
    <t>228B</t>
  </si>
  <si>
    <t>DRAF GASITAS</t>
  </si>
  <si>
    <t>Jl. Sukahati-Muara Beres RT 02/03 Cibinong Kab.Bogor</t>
  </si>
  <si>
    <t>-6.498234, 106.808835</t>
  </si>
  <si>
    <t>C228D</t>
  </si>
  <si>
    <t>228D</t>
  </si>
  <si>
    <t>MITRA HARUN GASINDO</t>
  </si>
  <si>
    <t>Jl. Gadog Raya No.3 Ciawi-Bogor</t>
  </si>
  <si>
    <t>-6.658139, 106.856439</t>
  </si>
  <si>
    <t>C229W</t>
  </si>
  <si>
    <t>229W</t>
  </si>
  <si>
    <t>MARTA SUPRA TEKNINDO</t>
  </si>
  <si>
    <t>Jl. Tol Ciawi km. 45, Kampung Sawah, Ds. Pandansari, Bogor</t>
  </si>
  <si>
    <t>-6.638275, 106.844702</t>
  </si>
  <si>
    <t>C228Q</t>
  </si>
  <si>
    <t>228Q</t>
  </si>
  <si>
    <t>GASINDO AMPAT SEKAWAN</t>
  </si>
  <si>
    <t>Jl. Raya Cikampak Desa Bojong Rangkas Kec. Ciampea, Kab. Bogor</t>
  </si>
  <si>
    <t>-6.570439, 106.690056</t>
  </si>
  <si>
    <t>C229N</t>
  </si>
  <si>
    <t>229N</t>
  </si>
  <si>
    <t>DUTA MENARA PERMATA LESTARI</t>
  </si>
  <si>
    <t>Jl. Jonggol Cariu, Desa Sirnagalih, Kec. Jonggol, Kab. Bogor</t>
  </si>
  <si>
    <t>-6.473199, 107.084507</t>
  </si>
  <si>
    <t>C22B9</t>
  </si>
  <si>
    <t>22B9</t>
  </si>
  <si>
    <t>PARUNG MUSTIKA ABADI</t>
  </si>
  <si>
    <t>Kp Curug RT 001/RW008 Desa Curug Kec Gunung Sindur Kab Bogor - Jawa Barat</t>
  </si>
  <si>
    <t>-6.407608, 106.693153</t>
  </si>
  <si>
    <t>226A</t>
  </si>
  <si>
    <t>WARUNG JERUK SUMBER GAS</t>
  </si>
  <si>
    <t>Kab Ciamis</t>
  </si>
  <si>
    <t>Jl. Lingkar Selatan Kp.Panyingkiran Ds.Cikalarang Kec.Cijeunjing Ciamis</t>
  </si>
  <si>
    <t>-7.35581, 108.41117</t>
  </si>
  <si>
    <t>226G</t>
  </si>
  <si>
    <t>KOPONTEREN NIKMATUL JAWAHIR GAS (CIAMIS)</t>
  </si>
  <si>
    <t>Desa Mekar Mukti RT 6/02 Dusun Batununggal Cisaga-Ciamis</t>
  </si>
  <si>
    <t>-7.342213097834306, 108.49610930074994</t>
  </si>
  <si>
    <t>C225H</t>
  </si>
  <si>
    <t>225H</t>
  </si>
  <si>
    <t>GALANG ARTHA SEMESTA</t>
  </si>
  <si>
    <t>Kab Cianjur</t>
  </si>
  <si>
    <t>Jl. KH. Abdullah Bin Nuh Kab.Cianjur</t>
  </si>
  <si>
    <t>-6.83255, 107.12196</t>
  </si>
  <si>
    <t>C2277</t>
  </si>
  <si>
    <t>CHUNUR COMPANY</t>
  </si>
  <si>
    <t>Jl. RAA Kusuma Diningrat - Cianjur</t>
  </si>
  <si>
    <t>-6.79384, 107.17193</t>
  </si>
  <si>
    <t>C229S</t>
  </si>
  <si>
    <t>229S</t>
  </si>
  <si>
    <t>RENATA PUTRA SENTOSA</t>
  </si>
  <si>
    <t>Jl. Raya Cibeber Km. 15, Desa Cipetir, Kec. Cibeber, Kab. Cianjur</t>
  </si>
  <si>
    <t>-6.928860888288807, 107.1231106074868</t>
  </si>
  <si>
    <t>C227D</t>
  </si>
  <si>
    <t>227D</t>
  </si>
  <si>
    <t>CHUNUR GAS</t>
  </si>
  <si>
    <t>C226Z</t>
  </si>
  <si>
    <t>226Z</t>
  </si>
  <si>
    <t>SARIALAM DWITUNGGAL SEJAHTERA</t>
  </si>
  <si>
    <t>Jl. Alternatif Jonggol - Cikalong Km.11 Kab.Cianjur Jawa Barat</t>
  </si>
  <si>
    <t>-6.772946223769763, 107.24298555259767</t>
  </si>
  <si>
    <t>C228G</t>
  </si>
  <si>
    <t>228G</t>
  </si>
  <si>
    <t>DWIPUTRA MAKMUR GASINDO</t>
  </si>
  <si>
    <t>Jl. Baru Tungturun RT.06 RW.02 Sindangraja, Sukaluyu Cianjur</t>
  </si>
  <si>
    <t>-6.775083171926725, 107.24173207739044</t>
  </si>
  <si>
    <t>C228I</t>
  </si>
  <si>
    <t>228I</t>
  </si>
  <si>
    <t>ENERGI BIRU PERKASA</t>
  </si>
  <si>
    <t>Kab Cirebon</t>
  </si>
  <si>
    <t>Jl. Raya By Pass Jakarta - Cirebon KM. 22, Ds. Kebonturi, Kec. Arjowinangun, Kab. Cirebon</t>
  </si>
  <si>
    <t>-6.66359, 108.41904</t>
  </si>
  <si>
    <t>C228M</t>
  </si>
  <si>
    <t>228M</t>
  </si>
  <si>
    <t>SINAR ALAMANDA SENTOSA</t>
  </si>
  <si>
    <t>Jl. Raya Karangsembung Desa Cisaat, Kec Walet, Kab Cirebon</t>
  </si>
  <si>
    <t>-6.8803, 108.68011</t>
  </si>
  <si>
    <t>C228O</t>
  </si>
  <si>
    <t>228O</t>
  </si>
  <si>
    <t>ADIPUTRA ANUGRAH SEJATI</t>
  </si>
  <si>
    <t xml:space="preserve">Jl. Raya Nyi Gede Cangkring, blok Sidengok, Desa Tegalsari, Kec. Plered, Kab. Cirebon. </t>
  </si>
  <si>
    <t>-6.68312, 108.49989</t>
  </si>
  <si>
    <t>C2291</t>
  </si>
  <si>
    <t>CIAYUMAJAKUNING GAS</t>
  </si>
  <si>
    <t>Jl. Raya Kanci - Losari KM. 10 Astanajapura Kab. Cirebon</t>
  </si>
  <si>
    <t>-6.78229, 108.62459</t>
  </si>
  <si>
    <t>C2295</t>
  </si>
  <si>
    <t>DANA USAHA MAKMUR</t>
  </si>
  <si>
    <t>Jl. Cirebon Losari KM. 22,5 Gebang Mekar Kab. Cirebon</t>
  </si>
  <si>
    <t>-6.82119, 108.73663</t>
  </si>
  <si>
    <t>C225R</t>
  </si>
  <si>
    <t>225R</t>
  </si>
  <si>
    <t>TRIMULTI ANUGRAH ABADI JAYA</t>
  </si>
  <si>
    <t>Jl. Raya Plered Sumber Km. 3 Kel. Watubelah Kec. Sumber Kab. Cirebon</t>
  </si>
  <si>
    <t>-6.73948, 108.49389</t>
  </si>
  <si>
    <t>C226J</t>
  </si>
  <si>
    <t>226J</t>
  </si>
  <si>
    <t>BANGUN CITRA PRIBADI</t>
  </si>
  <si>
    <t>Jl. Manao No.40 Tegalwangi, kec.weru, gegesik kab.Cirebon</t>
  </si>
  <si>
    <t>-6.553002132051236, 108.43183698285249</t>
  </si>
  <si>
    <t>CIREBON JAYA ENERGI</t>
  </si>
  <si>
    <t>Gintung Lor, Kec. Susukan, Kabupaten Cirebon, Jawa Barat 45166</t>
  </si>
  <si>
    <t>-6.644808749085960, 108.39423059127900</t>
  </si>
  <si>
    <t>C2206</t>
  </si>
  <si>
    <t>ADY BIDURIMEKAR ABADI JAYA</t>
  </si>
  <si>
    <t>Kab Garut</t>
  </si>
  <si>
    <t>Jl. Raya Garut-Cikajang km.15 Kp. Cipelah Kec. Cisurupan</t>
  </si>
  <si>
    <t>-7.29721, 107.80337</t>
  </si>
  <si>
    <t>C225M</t>
  </si>
  <si>
    <t>225M</t>
  </si>
  <si>
    <t>ASGARAYA ABADI GAS</t>
  </si>
  <si>
    <t>Blok Batu Luhur Desa Sukaraja Kec.Banyuresmi Kab.Garut</t>
  </si>
  <si>
    <t>-7.148124353875524, 107.89862486777639</t>
  </si>
  <si>
    <t>C225N</t>
  </si>
  <si>
    <t>225N</t>
  </si>
  <si>
    <t>PERTALUMAS</t>
  </si>
  <si>
    <t>Jl. H. Hasan Arif Desa Cipicung Kec.Banyuresmi Kab.Garut</t>
  </si>
  <si>
    <t>-7.17241, 107.94997</t>
  </si>
  <si>
    <t>C22A9</t>
  </si>
  <si>
    <t>22A9</t>
  </si>
  <si>
    <t>CITRA BUANA MULYA</t>
  </si>
  <si>
    <t>Jl. Raya Limbangan Banyuresmi, Ds Cimareme, Kec. Banyuresmi, Kab. Garut</t>
  </si>
  <si>
    <t>-7.11561, 107.946</t>
  </si>
  <si>
    <t>C22C2</t>
  </si>
  <si>
    <t>22C2</t>
  </si>
  <si>
    <t>LEBAK NANGKA SEJATI</t>
  </si>
  <si>
    <t>Jl. Kyai Hasan Arief Kp. Cikendal Hilir, Kel. Karyamukti, Kec. Banyuresmi, Kab. Garut, Jawa Barat</t>
  </si>
  <si>
    <t>-7.130633, 107.94539</t>
  </si>
  <si>
    <t>C22C4</t>
  </si>
  <si>
    <t>22C4</t>
  </si>
  <si>
    <t>MASOEM UTAMA GAS</t>
  </si>
  <si>
    <t>Jl.Garut -  Bandung Kp. Pasir Leunca 002/011 Desa Sukaraja Kecamatan Banyuresmi Kabupaten Garut Provinsi Jawa Barat</t>
  </si>
  <si>
    <t>-7.148888, 107.899237</t>
  </si>
  <si>
    <t>C225P</t>
  </si>
  <si>
    <t>225P</t>
  </si>
  <si>
    <t>POLLY JASA PERSADA</t>
  </si>
  <si>
    <t>Kab Indramayu</t>
  </si>
  <si>
    <t>Jl. Raya Krangkeng  Indramayu - Jawa Barat</t>
  </si>
  <si>
    <t>-6.52733, 108.49278</t>
  </si>
  <si>
    <t>C226C</t>
  </si>
  <si>
    <t>226C</t>
  </si>
  <si>
    <t>RAHAYU SURYA GEMILANG</t>
  </si>
  <si>
    <t>Jl. Pantura Cirebon-Indramayu Ds.Cadangpinggan Kec.Sukagumiwang</t>
  </si>
  <si>
    <t>-6.57155, 108.35189</t>
  </si>
  <si>
    <t>C228K</t>
  </si>
  <si>
    <t>228K</t>
  </si>
  <si>
    <t>FAJAR CAHAYA PANTURA</t>
  </si>
  <si>
    <t>Jl. Bypass Widasari, Blok Encong RT 09/RW 03 Desa Ujungaris, Kec Widasari, Kab Indramayu</t>
  </si>
  <si>
    <t>-6.46113, 108.28398</t>
  </si>
  <si>
    <t>C228Z</t>
  </si>
  <si>
    <t>228Z</t>
  </si>
  <si>
    <t>BUMI WIRALODRA</t>
  </si>
  <si>
    <t>Jl. Raya Losarang, Desa Pangkalan, Kec Losarang, Kab. Indramayu</t>
  </si>
  <si>
    <t>-6.39657, 108.19904</t>
  </si>
  <si>
    <t>C22C1</t>
  </si>
  <si>
    <t>22C1</t>
  </si>
  <si>
    <t>PATRA TRADING BALONGAN</t>
  </si>
  <si>
    <t>Jl. Raya Balongan Km 8 Indramayu</t>
  </si>
  <si>
    <t>-6.361328, 108.388598</t>
  </si>
  <si>
    <t>C22C9</t>
  </si>
  <si>
    <t>22C9</t>
  </si>
  <si>
    <t>C225G</t>
  </si>
  <si>
    <t>225G</t>
  </si>
  <si>
    <t>RADISA UNGGUL SEJAHTERA</t>
  </si>
  <si>
    <t>Kab Karawang</t>
  </si>
  <si>
    <t xml:space="preserve">Jl. Syeh Quro Dusun Peundeuy Rt. 03/08 Ds. Karyamukti Kec. Lemahabang Kab. Karawang </t>
  </si>
  <si>
    <t>-6.279174, 107.465917</t>
  </si>
  <si>
    <t>C227X</t>
  </si>
  <si>
    <t>227X</t>
  </si>
  <si>
    <t>ENERGY CAHAYA LESTARI</t>
  </si>
  <si>
    <t>Jl. Raya Pasar Jengkol Tg. Pura, Karawang Barat</t>
  </si>
  <si>
    <t>-6.284951708241757, 107.2875381098543</t>
  </si>
  <si>
    <t>C2294</t>
  </si>
  <si>
    <t>PENTA CIPTA SELARAS</t>
  </si>
  <si>
    <t>Jl. Raya Purwosari Km. 90, Karawang Timur</t>
  </si>
  <si>
    <t>-6.390195, 107.419596</t>
  </si>
  <si>
    <t>C22B7</t>
  </si>
  <si>
    <t>22B7</t>
  </si>
  <si>
    <t>AMMAR IBRAHIM</t>
  </si>
  <si>
    <t>Ds. Ciranggon III RT 11/03, Kec. Majalaya, Kab. Karawang</t>
  </si>
  <si>
    <t>-6.29101370879198, 107.36887185836768</t>
  </si>
  <si>
    <t>C2285</t>
  </si>
  <si>
    <t>ARBITH ENERGY PERKASA</t>
  </si>
  <si>
    <t>C2279</t>
  </si>
  <si>
    <t>PATRA TRADING CIKAMPEK</t>
  </si>
  <si>
    <t>Jl. A. Yani Cikampek</t>
  </si>
  <si>
    <t>-6.393671, 107.423608</t>
  </si>
  <si>
    <t>C229D</t>
  </si>
  <si>
    <t>229D</t>
  </si>
  <si>
    <t>MULTI ARTHA MANDIRI</t>
  </si>
  <si>
    <t>Jl. Raya Jatisari Km. 104, pantura Kab. Karawang</t>
  </si>
  <si>
    <t>-6.366986, 107.524706</t>
  </si>
  <si>
    <t>C229H</t>
  </si>
  <si>
    <t>229H</t>
  </si>
  <si>
    <t>SABILULUNGAN JAYA GAS</t>
  </si>
  <si>
    <t>Jl. Wirasaba RT. 00 RW. 00 Karawang Barat, Jawa Barat</t>
  </si>
  <si>
    <t>-6.316695, 107.31661</t>
  </si>
  <si>
    <t>LAURENSIA ENERGI CORP.</t>
  </si>
  <si>
    <t>Kutaampel, Kec. Batujaya, Karawang, Jawa Barat</t>
  </si>
  <si>
    <t>-6.098961,107.245553</t>
  </si>
  <si>
    <t>C225W</t>
  </si>
  <si>
    <t>225W</t>
  </si>
  <si>
    <t>PUSPITA CIPTA</t>
  </si>
  <si>
    <t>Kab Kuningan</t>
  </si>
  <si>
    <t>Jl. Raya Oleced Manggari Luragung-Kuningan</t>
  </si>
  <si>
    <t>-6.99138, 108.5647</t>
  </si>
  <si>
    <t>C22B5</t>
  </si>
  <si>
    <t>22B5</t>
  </si>
  <si>
    <t>ADELYA PERMATA</t>
  </si>
  <si>
    <t>Jl. Raya Cigugur - Cipari, Kec. Cigugur, Kab. Kuningan</t>
  </si>
  <si>
    <t>-6.95829, 108.46712</t>
  </si>
  <si>
    <t>C2298</t>
  </si>
  <si>
    <t>PRAMA BINA WISESA</t>
  </si>
  <si>
    <t>Jl. Caracas - Cibuntu Desa Caracas Kec.Cibuntu Kab.Kuningan</t>
  </si>
  <si>
    <t>-6.860124682896603, 108.51248948138497</t>
  </si>
  <si>
    <t>MAHAKA BUMI LESTARI</t>
  </si>
  <si>
    <t>Jl. Lkr. Timur Kuningan, Ciniru, Kec. Jalaksana, Kabupaten Kuningan, Jawa Barat</t>
  </si>
  <si>
    <t>-6.916712, 108.505140</t>
  </si>
  <si>
    <t>C225J</t>
  </si>
  <si>
    <t>225J</t>
  </si>
  <si>
    <t>PRIMA MUSTIKA PETROLINDO</t>
  </si>
  <si>
    <t>Kab Majalengka</t>
  </si>
  <si>
    <t>Jl. Raya Majalengka - Rajagaluh Ds. Cikalong Kec. Sukahaji</t>
  </si>
  <si>
    <t>-6.82304, 108.27332</t>
  </si>
  <si>
    <t>C22A1</t>
  </si>
  <si>
    <t>22A1</t>
  </si>
  <si>
    <t>ADAM PRAMUDYA</t>
  </si>
  <si>
    <t>Jl. Raya Pasukan Sindang Kasih, Desa Kawunggirang, Kab. Majalengka</t>
  </si>
  <si>
    <t>-6.86221, 108.27175</t>
  </si>
  <si>
    <t>C229R</t>
  </si>
  <si>
    <t>229R</t>
  </si>
  <si>
    <t>ALLASANDRA GUNA ENERGI</t>
  </si>
  <si>
    <t>Jl. Lanud S. Sukani Blok Wates, Kel. Jatisura, Kec. Jatiwangi, Kab. Majalengka</t>
  </si>
  <si>
    <t>-6.711296, 108.25427</t>
  </si>
  <si>
    <t>BUMI BERKAH MANUNGGAL</t>
  </si>
  <si>
    <t>Karangmulya, Kec. Kandanghaur, Kabupaten Indramayu, Jawa Barat</t>
  </si>
  <si>
    <t>-6.40184, 108.11088</t>
  </si>
  <si>
    <t>C22D0</t>
  </si>
  <si>
    <t>22D0</t>
  </si>
  <si>
    <t>PATRA ABADI MANDIRI MAKMUR</t>
  </si>
  <si>
    <t>Bantarwaru, Kec. Ligung, Kabupaten Majalengka, Jawa Barat</t>
  </si>
  <si>
    <t>-6.65245647380607, 108.29496746443779</t>
  </si>
  <si>
    <t>KAWAN ENERGI SELARAS</t>
  </si>
  <si>
    <t>56P2+RW, Jatipamor, Kec. Panyingkiran, Kabupaten Majalengka, Jawa Barat</t>
  </si>
  <si>
    <t>-6.812873880309938, 108.20232952582808</t>
  </si>
  <si>
    <t>22C3</t>
  </si>
  <si>
    <t>SOGAS INDAH PERDANA</t>
  </si>
  <si>
    <t>Kab Pangandaran</t>
  </si>
  <si>
    <t>Jl Raya Banjar - Pangandaran, Desa Putrapinggan - Kalipucang, Pangandaran</t>
  </si>
  <si>
    <t>-7.669845, 108.725625</t>
  </si>
  <si>
    <t>C22A2</t>
  </si>
  <si>
    <t>22A2</t>
  </si>
  <si>
    <t>DHARMA KUMALA UTAMA</t>
  </si>
  <si>
    <t>Kab Purwakarta</t>
  </si>
  <si>
    <t>Kp. Kiara, Desa Cikumpay, Kec Cempaka, Purwakarta</t>
  </si>
  <si>
    <t>-6.501738652153736, 107.49399737789582</t>
  </si>
  <si>
    <t>C22B4</t>
  </si>
  <si>
    <t>22B4</t>
  </si>
  <si>
    <t>SUTAN GASINDO RAYA</t>
  </si>
  <si>
    <t>Jl. Sawit - Bojong, Ds. Linggasari Kec. Darangdan, Kab. Purwakarta</t>
  </si>
  <si>
    <t>-6.696909, 107.455692</t>
  </si>
  <si>
    <t>C229J</t>
  </si>
  <si>
    <t>229J</t>
  </si>
  <si>
    <t>MINA GLOBAL MANDIRI</t>
  </si>
  <si>
    <t>Cisalada, Kec. Jatiluhur, Kabupaten Purwakarta, Jawa Barat</t>
  </si>
  <si>
    <t>-6.578248, 107.448485</t>
  </si>
  <si>
    <t>C229P</t>
  </si>
  <si>
    <t>229P</t>
  </si>
  <si>
    <t>SEHAJA GASINDO</t>
  </si>
  <si>
    <t>Jl. Sadang-Subang km 9 Cijaya Campaka, Kab. Purwakarta</t>
  </si>
  <si>
    <t>-6.496401510990838, 107.50527085989341</t>
  </si>
  <si>
    <t>C2247</t>
  </si>
  <si>
    <t>CAHAYA GAS GEMILANG ABADI</t>
  </si>
  <si>
    <t>Kab Subang</t>
  </si>
  <si>
    <t xml:space="preserve">Jl. Raya Warung Kadu no. 99 km.4 Panembong, Kel. Parung, Kab. Subang </t>
  </si>
  <si>
    <t>-6.59444, 107.73459</t>
  </si>
  <si>
    <t>C2282</t>
  </si>
  <si>
    <t>PURWASUKA JAYA GAS</t>
  </si>
  <si>
    <t>Jl. Raya Batang Sari Km. 8, Kec. Sukasari, Pamanukan - Subang</t>
  </si>
  <si>
    <t>-6.29877, 107.75743</t>
  </si>
  <si>
    <t>C2286</t>
  </si>
  <si>
    <t>GASINDO SUBANG ENERGI</t>
  </si>
  <si>
    <t>Jl. Raya Gunung Sembung, Desa Gembor Kec. Pegaden - Subang</t>
  </si>
  <si>
    <t>-6.5025820654400865, 107.80623294907248</t>
  </si>
  <si>
    <t>C2243</t>
  </si>
  <si>
    <t>ABDI PERDANA CIPTA</t>
  </si>
  <si>
    <t>Jl. Raya Kalijati, Ds. Manyeti, Kec. Dawuan, Kab. Subang</t>
  </si>
  <si>
    <t>-6.532423497980275, 107.69267066737703</t>
  </si>
  <si>
    <t>SATYA ADHI PRAWIRA</t>
  </si>
  <si>
    <t>Kertajaya, Kec. Tambakdahan, Kabupaten Subang, Jawa Barat</t>
  </si>
  <si>
    <t>-6.337546, 107.819870</t>
  </si>
  <si>
    <t>C229Z</t>
  </si>
  <si>
    <t>229Z</t>
  </si>
  <si>
    <t>LINGGAJATI EKAKARSA</t>
  </si>
  <si>
    <t>Jl. Raya Rawabadak km. 4, Ds. Cinangsi, Kec. Cibogo, Subang</t>
  </si>
  <si>
    <t>-6.56007, 107.7899</t>
  </si>
  <si>
    <t>C225O</t>
  </si>
  <si>
    <t>225O</t>
  </si>
  <si>
    <t>ENERGI BERKAT CEMERLANG</t>
  </si>
  <si>
    <t>Kab Sukabumi</t>
  </si>
  <si>
    <t>Jl. Perintis Kemerdekaan Cibadak - Pelabuhan Ratu Km. 2  Sukabumi</t>
  </si>
  <si>
    <t>-6.906274030564357, 106.77866590633406</t>
  </si>
  <si>
    <t>C225U</t>
  </si>
  <si>
    <t>225U</t>
  </si>
  <si>
    <t>NUSA ENERGI SEJAHTERA ABADI</t>
  </si>
  <si>
    <t xml:space="preserve">Kawasan Industri Daihan Motor Jl.Siliwangi Parungkuda - Sukabumi </t>
  </si>
  <si>
    <t>-6.869289, 106.765925</t>
  </si>
  <si>
    <t>C228F</t>
  </si>
  <si>
    <t>228F</t>
  </si>
  <si>
    <t>UTAMA RAYA ABADI</t>
  </si>
  <si>
    <t>Jl. Yonif 310 Km.2 Kel.Cikembar Kec.Cikembar Sukabumi</t>
  </si>
  <si>
    <t>-6.971176084132139, 106.79199593299674</t>
  </si>
  <si>
    <t>C228J</t>
  </si>
  <si>
    <t>228J</t>
  </si>
  <si>
    <t>SPEKTRA ENERGY</t>
  </si>
  <si>
    <t>Jl. Cemerlang Kp. Cijambe Kec.Warudoyong Kota Sukabumi</t>
  </si>
  <si>
    <t>-6.933632, 106.905406</t>
  </si>
  <si>
    <t>C228V</t>
  </si>
  <si>
    <t>228V</t>
  </si>
  <si>
    <t>LADANG NANAS MAS</t>
  </si>
  <si>
    <t xml:space="preserve">Jl. Pondok Halimun Km. 7, Desa Perbawati, Kec./Kab. Sukabumi. </t>
  </si>
  <si>
    <t>-6.87029, 106.947935</t>
  </si>
  <si>
    <t>C22B8</t>
  </si>
  <si>
    <t>22B8</t>
  </si>
  <si>
    <t>SPBE CIKEMBAR SUKABUMI</t>
  </si>
  <si>
    <t>Jl. Pelabuhan II Km.19 Blok Simpenan RT.04/07 Desa Cikembar, Cikembar-Sukabumi 43161</t>
  </si>
  <si>
    <t>-6.961900913245675, 106.78313807763331</t>
  </si>
  <si>
    <t>C224B</t>
  </si>
  <si>
    <t>224B</t>
  </si>
  <si>
    <t>SURYA PRATAMA GAS</t>
  </si>
  <si>
    <t>C226H</t>
  </si>
  <si>
    <t>226H</t>
  </si>
  <si>
    <t>PATRA TRADING CIMANGKOK</t>
  </si>
  <si>
    <t>Jl. Raya Sukabumi-Cianjur Km 13,6 RT 36 RW 08 Ds.Titisan Kec.Sukalarang Sukabumi</t>
  </si>
  <si>
    <t>-6.869653, 107.027189</t>
  </si>
  <si>
    <t>C226K</t>
  </si>
  <si>
    <t>226K</t>
  </si>
  <si>
    <t>ROBITA DHARMA</t>
  </si>
  <si>
    <t>Kab Sumedang</t>
  </si>
  <si>
    <t>Jl. Raya Bandung Tg.Sari Ds Kuta Mandiri Sumedang</t>
  </si>
  <si>
    <t>-6.91208, 107.79471</t>
  </si>
  <si>
    <t>C227F</t>
  </si>
  <si>
    <t>227F</t>
  </si>
  <si>
    <t>API BIRU NUSANTARA</t>
  </si>
  <si>
    <t xml:space="preserve">Jl. Parakan Muncang, Desa Raharja, Kec. Tanjung Sari </t>
  </si>
  <si>
    <t>-6.921577802739958, 107.82851699502955</t>
  </si>
  <si>
    <t>C2248</t>
  </si>
  <si>
    <t>DAGIS KARYA GASINDO</t>
  </si>
  <si>
    <t>Jl. Raya Tanjung Kerta, Ds. Licin, Kec. Cimalaka, Kab. Sumedang</t>
  </si>
  <si>
    <t>-6.79677, 107.94463</t>
  </si>
  <si>
    <t>225L</t>
  </si>
  <si>
    <t>SPEKTRA ABADI</t>
  </si>
  <si>
    <t>Kab Tasikmalaya</t>
  </si>
  <si>
    <t>Jl. Raya Jamanis, Ciawi - Tasikmalaya</t>
  </si>
  <si>
    <t>-7.17497, 108.16981</t>
  </si>
  <si>
    <t>225Y</t>
  </si>
  <si>
    <t>WAHIDA ARTA GUNA LESTARI</t>
  </si>
  <si>
    <t>Jl. Letjen Mashudi RT 03 RW 02 Kel.Kersanegara, Kec.Cibeureum,Tasikmalaya</t>
  </si>
  <si>
    <t>-7.360806, 108.236472</t>
  </si>
  <si>
    <t>227M</t>
  </si>
  <si>
    <t>GIGA UTAMA</t>
  </si>
  <si>
    <t>Jl. Syekh Abdul Muhi, Desa Janggala, Kec.Sukaraja Tasikmalaya</t>
  </si>
  <si>
    <t>-7.461214693622029, 108.19437425760387</t>
  </si>
  <si>
    <t>228Y</t>
  </si>
  <si>
    <t>HANS GAS BERSAMA</t>
  </si>
  <si>
    <t>Jl. Singaparna km. 12, Ds. Cinta Raja, Kec. Singaparna, Tasikmalaya</t>
  </si>
  <si>
    <t>-7.342673079032825, 108.14548238658637</t>
  </si>
  <si>
    <t>229Q</t>
  </si>
  <si>
    <t>MITRA BUANA ENERGI RAYA</t>
  </si>
  <si>
    <t>Jl. Raya Karang Nunggal Kp. Baru RT 04/IV desa Eureunpalay Kec. Cibalong Tasikmalaya</t>
  </si>
  <si>
    <t>-7.578706, 108.168318</t>
  </si>
  <si>
    <t>22A5</t>
  </si>
  <si>
    <t>ZAKARIA ADI KARYA</t>
  </si>
  <si>
    <t>Jl. Raya Rajapolah Desa Dawagung, Kec. Rajapolah, Tasikmalaya</t>
  </si>
  <si>
    <t>-7.236866699482173, 108.1897214365848</t>
  </si>
  <si>
    <t>224C</t>
  </si>
  <si>
    <t>GILANG PERSADA</t>
  </si>
  <si>
    <t>PATRA TRADING TASIKMALAYA</t>
  </si>
  <si>
    <t>Jl. Garuda No. 1  Tasikmalaya</t>
  </si>
  <si>
    <t>-7.33397, 108.23797</t>
  </si>
  <si>
    <t>C226O</t>
  </si>
  <si>
    <t>226O</t>
  </si>
  <si>
    <t>LIMAGAS JAYA MANDIRI</t>
  </si>
  <si>
    <t>Kota Bandung</t>
  </si>
  <si>
    <t xml:space="preserve">Jl. Soekarno Hatta No. 799 Bandung </t>
  </si>
  <si>
    <t>-6.935722854836224, 107.69047770166597</t>
  </si>
  <si>
    <t>C227P</t>
  </si>
  <si>
    <t>227P</t>
  </si>
  <si>
    <t>PURNATARUM MURNI RAHAYU PUTRA</t>
  </si>
  <si>
    <t>Sukarno Hatta No.628A Km.12,5, Bandung</t>
  </si>
  <si>
    <t>-6.93878, 107.70004</t>
  </si>
  <si>
    <t>C227Q</t>
  </si>
  <si>
    <t>227Q</t>
  </si>
  <si>
    <t>SENTUL NIAGA KARYA RAYA</t>
  </si>
  <si>
    <t>Cimapokolan / Rancacili, Gedebage, Bandung</t>
  </si>
  <si>
    <t>-6.9604, 107.67767</t>
  </si>
  <si>
    <t>C2261</t>
  </si>
  <si>
    <t>PURNATARUM MURNI RAHAYU</t>
  </si>
  <si>
    <t>C2267</t>
  </si>
  <si>
    <t>MANDALAGIRI KARYA RAYA</t>
  </si>
  <si>
    <t>C2268</t>
  </si>
  <si>
    <t>INDONESIA BINTANG CEMERLANG</t>
  </si>
  <si>
    <t>Jl. Sukarno Hatta 449, Kec. Regol, Bandung</t>
  </si>
  <si>
    <t>-6.94813, 107.61471</t>
  </si>
  <si>
    <t>C2283</t>
  </si>
  <si>
    <t>PATRA TRADING UJUNG BERUNG</t>
  </si>
  <si>
    <t xml:space="preserve">JL. Soekarno Hatta No. 728 Bandung </t>
  </si>
  <si>
    <t>-6.941344425864641, 107.69357376179211</t>
  </si>
  <si>
    <t>224E</t>
  </si>
  <si>
    <t>PRIBADI MANUNGGAL</t>
  </si>
  <si>
    <t>Kota Banjar</t>
  </si>
  <si>
    <t>Jl. Banjar Pamarican Rt.04 Rw.08 Dusun Pangasinan, Desa Binangun, Kec. Pataruman, Kota Banjar</t>
  </si>
  <si>
    <t>-7.39144708801219, 108.52692614876827</t>
  </si>
  <si>
    <t>C227N</t>
  </si>
  <si>
    <t>227N</t>
  </si>
  <si>
    <t>KENROPE SARANA PRATAMA</t>
  </si>
  <si>
    <t>Kota Bekasi</t>
  </si>
  <si>
    <t>Jl.Raya Narogong Km. 13 Pangkalan V Cikiwul Bantar Gebang, Bekasi</t>
  </si>
  <si>
    <t>-6.342837, 106.991955</t>
  </si>
  <si>
    <t>C227O</t>
  </si>
  <si>
    <t>227O</t>
  </si>
  <si>
    <t>NENGGALA DHARMA YASA</t>
  </si>
  <si>
    <t>Jl.Raya Bintara Jaya No. 99 Bekasi</t>
  </si>
  <si>
    <t>-6.238826, 106.945387</t>
  </si>
  <si>
    <t>C2288</t>
  </si>
  <si>
    <t>PACIFIC SUMBER SEGARA</t>
  </si>
  <si>
    <t>Jl. Raya Mustika Sari Km. 4 No. 14, Kec. Mustika Jaya, Bekasi Timur</t>
  </si>
  <si>
    <t>-6.289252213982131, 107.00524946348703</t>
  </si>
  <si>
    <t>C228X</t>
  </si>
  <si>
    <t>228X</t>
  </si>
  <si>
    <t>NUSANTARA NURAGA</t>
  </si>
  <si>
    <t xml:space="preserve">Jl. Raya Bekasi Km. 26, Kel. Ujung Menteng, Kec. Cakung, Jakarta Timur </t>
  </si>
  <si>
    <t>-6.19084782783121, 106.9703309135911</t>
  </si>
  <si>
    <t>C2284</t>
  </si>
  <si>
    <t>SURYA ALAM PRATAMA</t>
  </si>
  <si>
    <t>Jl. Raya Pekayon No. 17, Jati Asih - Bekasi Barat</t>
  </si>
  <si>
    <t>-6.296547549839891, 106.96802835711469</t>
  </si>
  <si>
    <t>C2258</t>
  </si>
  <si>
    <t>BUMINDO GASUTAMA</t>
  </si>
  <si>
    <t>C2260</t>
  </si>
  <si>
    <t>KENROPE UTAMA</t>
  </si>
  <si>
    <t>C228T</t>
  </si>
  <si>
    <t>228T</t>
  </si>
  <si>
    <t>PACIFIC SUMBER SEGARA GAS</t>
  </si>
  <si>
    <t>C2240</t>
  </si>
  <si>
    <t>GREGITAN DINAMIKA</t>
  </si>
  <si>
    <t>Jl. Raya Jatimakmur Kav.55-57, Pondok Gede</t>
  </si>
  <si>
    <t>-6.276684, 106.933805</t>
  </si>
  <si>
    <t>C225X</t>
  </si>
  <si>
    <t>225X</t>
  </si>
  <si>
    <t>JATIWARNA GASUTAMA</t>
  </si>
  <si>
    <t>Jl. Raya Hankam RT 004 RW 005 Kel.Jatirangon-Jatisampurna Bekasi</t>
  </si>
  <si>
    <t>-6.340678, 106.923108</t>
  </si>
  <si>
    <t>C226S</t>
  </si>
  <si>
    <t>226S</t>
  </si>
  <si>
    <t>SINAR TELAGA GUCI EMAS</t>
  </si>
  <si>
    <t>Jl. Saptopati II Kel. Bojong Menteng Kec. Rawa Lumbu Kota Bekasi</t>
  </si>
  <si>
    <t>-6.305914, 106.98187</t>
  </si>
  <si>
    <t>C226Y</t>
  </si>
  <si>
    <t>226Y</t>
  </si>
  <si>
    <t>INDOGAS ANDALAN KITA</t>
  </si>
  <si>
    <t>Jl. Raya PU RT 002 RW 003, Kp.Pabuaran, Kel.Cimuning, Kec.Mustika Jaya Bekasi</t>
  </si>
  <si>
    <t>-6.324928, 107.021663</t>
  </si>
  <si>
    <t>C229A</t>
  </si>
  <si>
    <t>229A</t>
  </si>
  <si>
    <t>BAHARI NUSANTARA ENERGI</t>
  </si>
  <si>
    <t>Kota Bogor</t>
  </si>
  <si>
    <t>Jl. Pangeran Sogiri no. 5 RT 05/05 Kel. Tanah Baru, Kec. Bogor Utara Kota Bogor</t>
  </si>
  <si>
    <t>-6.588084, 106.820224</t>
  </si>
  <si>
    <t>C227G</t>
  </si>
  <si>
    <t>227G</t>
  </si>
  <si>
    <t>SADIKUN LPG 3 KG (CIMAHI)</t>
  </si>
  <si>
    <t>Kota Cimahi</t>
  </si>
  <si>
    <t>Kerkof No.148 Kp. Kihapit Barat Leuwig, Bandung</t>
  </si>
  <si>
    <t>-6.90527, 107.52387</t>
  </si>
  <si>
    <t>C2266</t>
  </si>
  <si>
    <t>BAJUBANG GASINDO</t>
  </si>
  <si>
    <t>C226T</t>
  </si>
  <si>
    <t>226T</t>
  </si>
  <si>
    <t>CATUR JAYA PERKASA</t>
  </si>
  <si>
    <t>Kota Depok</t>
  </si>
  <si>
    <t>Jl. Raya Tapos RT 002/04 Kel.Cimpaeun Kec.Cimanggis Depok</t>
  </si>
  <si>
    <t>-6.439369, 106.880362</t>
  </si>
  <si>
    <t>C226U</t>
  </si>
  <si>
    <t>226U</t>
  </si>
  <si>
    <t>RAJAGAS</t>
  </si>
  <si>
    <t>Jl. Raya Jatimulya RT 01/01Kel.Jatimulya Kec.Sukmajaya Depok</t>
  </si>
  <si>
    <t>-6.458002, 106.825755</t>
  </si>
  <si>
    <t>C227U</t>
  </si>
  <si>
    <t>227U</t>
  </si>
  <si>
    <t>GILANGAS PERKASA</t>
  </si>
  <si>
    <t>Jl.Abdul Wahab No.33 Sawangan Depok</t>
  </si>
  <si>
    <t>-6.373292250260953, 106.75139030475796</t>
  </si>
  <si>
    <t>C229O</t>
  </si>
  <si>
    <t>229O</t>
  </si>
  <si>
    <t>ADIKARYA PRAMITA PERDANA</t>
  </si>
  <si>
    <t>Jl. Raya Bogor Km.37, Kel. Sukamaju Baru, Kec. Cilodong, Kota Depok</t>
  </si>
  <si>
    <t>-6.420112, 106.856482</t>
  </si>
  <si>
    <t>C2259</t>
  </si>
  <si>
    <t>GIGA INTRAX (DEPOK)</t>
  </si>
  <si>
    <t>C22A7</t>
  </si>
  <si>
    <t>22A7</t>
  </si>
  <si>
    <t>TIDAR SETIA ELPINDO</t>
  </si>
  <si>
    <t>Jl. Abdul Gani Raya, RT. 06/01 Kel Kalibaru, Depok</t>
  </si>
  <si>
    <t>-6.439751, 106.840947</t>
  </si>
  <si>
    <t>C22D1</t>
  </si>
  <si>
    <t>22D1</t>
  </si>
  <si>
    <t>SINAR BERKAH UTAMA ENERGI</t>
  </si>
  <si>
    <t>Serua, Kec. Bojongsari, Kota Depok, Jawa Barat</t>
  </si>
  <si>
    <t>-6.373145, 106.744475</t>
  </si>
  <si>
    <t>235Y</t>
  </si>
  <si>
    <t>ALAM NARIZQI AIRMAS</t>
  </si>
  <si>
    <t>Kab Bantul</t>
  </si>
  <si>
    <t>Daerah Istimewa Yogyakarta</t>
  </si>
  <si>
    <t>Jl.Raya Sitimulyo KM 1 Bantul 55792 Yogyakarta</t>
  </si>
  <si>
    <t>-7.8376955055289725, 110.44035065392153</t>
  </si>
  <si>
    <t>BUMI PURNAMA RAYA</t>
  </si>
  <si>
    <t>Jl. Raya manding Jetis Sabdodadi Bantul</t>
  </si>
  <si>
    <t>-7.895372236427339, 110.35554370566547</t>
  </si>
  <si>
    <t>TUNAS SATRIA MANDIRI</t>
  </si>
  <si>
    <t>PATRA TRADING REWULU</t>
  </si>
  <si>
    <t>Jl. Raya Wates Km 10,Sedayu-Bantul</t>
  </si>
  <si>
    <t>-7.802594789010798, 110.28117122960194</t>
  </si>
  <si>
    <t>236D</t>
  </si>
  <si>
    <t>MATARAM BHUMI KIRANA</t>
  </si>
  <si>
    <t>Kab Gunung Kidul</t>
  </si>
  <si>
    <t>Jl. Pontjodirjo (lingkar utara) , Wonosari, Gunung Kidul, Yogyakarta</t>
  </si>
  <si>
    <t>-7.943939213444207, 110.61457149840915</t>
  </si>
  <si>
    <t>235P</t>
  </si>
  <si>
    <t>SEKAWAN MAJU MAPAN (KLATEN)</t>
  </si>
  <si>
    <t>Kab Klaten</t>
  </si>
  <si>
    <t>Dk. Jambu Kulon RT. 001 RW. 007, Ceper, Klaten</t>
  </si>
  <si>
    <t>-7.668600861951328, 110.66345069961939</t>
  </si>
  <si>
    <t>KARYAMAS NIAGA MANUNGGAL ABADI</t>
  </si>
  <si>
    <t>Jl. Karangwuni-Pedan, Ds. Dlimas, Kec. Ceper, Kab. Klaten</t>
  </si>
  <si>
    <t>-7.675616274044927, 110.65846723723693</t>
  </si>
  <si>
    <t>235R</t>
  </si>
  <si>
    <t>GUATRA UTAMA</t>
  </si>
  <si>
    <t>Jln Raya Klaten Jogya Km. 6, Desa Kraguman, Jogonalan, Klaten</t>
  </si>
  <si>
    <t>-7.725106975148485, 110.55341673077949</t>
  </si>
  <si>
    <t>235C</t>
  </si>
  <si>
    <t>CAPITALREALM INDONESIA (KULON PROGO)</t>
  </si>
  <si>
    <t>Kab Kulon Progo</t>
  </si>
  <si>
    <t xml:space="preserve">Dusun Bisil, Desa Salamrejo, Kec.Sentolo </t>
  </si>
  <si>
    <t>-7.860468661407782, 110.2325075870884</t>
  </si>
  <si>
    <t>235U</t>
  </si>
  <si>
    <t>LESTARI PELITA GRAHA</t>
  </si>
  <si>
    <t>Jl. Yogya - Wates Km. 19,5, Gembongan, Sentolo, Kulonprogo</t>
  </si>
  <si>
    <t>-7.855615046548878, 110.21587527421396</t>
  </si>
  <si>
    <t>239H</t>
  </si>
  <si>
    <t>MURNI MAKMUR SEJAHTERA</t>
  </si>
  <si>
    <t>Kab Sleman</t>
  </si>
  <si>
    <t>KALIMANJUNG, AMBARKETAWANG, GAMPING, SLEMAN</t>
  </si>
  <si>
    <t>-7.8073776581814105, 110.30991060420013</t>
  </si>
  <si>
    <t>JATIRATA MITRA MULYA</t>
  </si>
  <si>
    <t>JL. Raya Yogya -Magelang KM 15,2 Medari Sleman</t>
  </si>
  <si>
    <t>-7.677336643939668, 110.33531301135666</t>
  </si>
  <si>
    <t>235O</t>
  </si>
  <si>
    <t>NARADA AGUNGNUGRAHA</t>
  </si>
  <si>
    <t>Ds Pelemsari, Bokoharjo Prambanan - Sleman Yogyakarta</t>
  </si>
  <si>
    <t>-7.772312, 110.479018</t>
  </si>
  <si>
    <t>BAKTI BUNGA ANANDA</t>
  </si>
  <si>
    <t>236K</t>
  </si>
  <si>
    <t>ENERKON NUSANTARA</t>
  </si>
  <si>
    <t>Kab Banjarnegara</t>
  </si>
  <si>
    <t>Jawa Tengah</t>
  </si>
  <si>
    <t>Jl. Tampomas Ds. Masaran Kec. Bawang Kab. Banjarnegara</t>
  </si>
  <si>
    <t>-7.411083225910119, 109.64265275971815</t>
  </si>
  <si>
    <t>MITRA GAS BAROKAH</t>
  </si>
  <si>
    <t>Jl. Raya Wanadadi - Banjarnegara, Linggamerta, Linggasari, Kec. Wanadadi, Kab. Banjarnegara, Jawa Tengah 53461</t>
  </si>
  <si>
    <t>-7.369306, 109.667583</t>
  </si>
  <si>
    <t>FAMON AWAL BROS SEJAHTERA</t>
  </si>
  <si>
    <t>Kab Banyumas</t>
  </si>
  <si>
    <t>Jl. Raya Karang Welas, Cilongok, Purwokerto, Banyumas</t>
  </si>
  <si>
    <t>-7.41365947333945, 109.16603801363874</t>
  </si>
  <si>
    <t>KARYA MANDIRI SEJAHTERA UTAMA</t>
  </si>
  <si>
    <t>Jl. Raya Ajibarang - Wangon KM. 4, Desa Tipar Ajibarang, Banyumas</t>
  </si>
  <si>
    <t>-7.441049313981076, 109.07111636141991</t>
  </si>
  <si>
    <t>239S</t>
  </si>
  <si>
    <t>BANYUMAS GAS ABADI</t>
  </si>
  <si>
    <t>Jl. Raya Wangon Lumbir RT 01 / RW 02, Ds. Karanggayam , kec. Lumbir, kab. Banyumas</t>
  </si>
  <si>
    <t>-7.489524100090153, 108.99569941217185</t>
  </si>
  <si>
    <t>TIRTATAMA ELPIJI</t>
  </si>
  <si>
    <t>JL. Raya Purwokerto-Banyumas KM 12,5 Banyumas</t>
  </si>
  <si>
    <t>-7.490679905427981, 109.29832881947348</t>
  </si>
  <si>
    <t>239P</t>
  </si>
  <si>
    <t xml:space="preserve">KUSUMA BANYUMASAN JAYA GAS </t>
  </si>
  <si>
    <t>Jalan Raya Sampang - buntu RT 03 RW 01</t>
  </si>
  <si>
    <t>-7.5613906219371385, 109.2088964784713</t>
  </si>
  <si>
    <t>BUMI MEGAH RAHAYU</t>
  </si>
  <si>
    <t>Kab Batang</t>
  </si>
  <si>
    <t>Jl. Raya Sengon, Desa Sengon Kab. Batang</t>
  </si>
  <si>
    <t>-6.957542312414145, 109.84173141552762</t>
  </si>
  <si>
    <t>236C</t>
  </si>
  <si>
    <t>DEGAN IJO JAYA GAS</t>
  </si>
  <si>
    <t>Jalan Raya Batang - Bandar KM. 6 Ds. Siwatu, Kec. Wonotunggal, Kab. Batang</t>
  </si>
  <si>
    <t>-6.955241668385401, 109.74459306733846</t>
  </si>
  <si>
    <t>236B</t>
  </si>
  <si>
    <t>NUGRAHA SATYA SAKTI</t>
  </si>
  <si>
    <t>Kab Blora</t>
  </si>
  <si>
    <t>Jln Raya Blora-Rembang KM 8, Medang Blora, Jawa Tengah</t>
  </si>
  <si>
    <t>-6.918467147740296, 111.43814158225962</t>
  </si>
  <si>
    <t>C236P</t>
  </si>
  <si>
    <t>236P</t>
  </si>
  <si>
    <t>DINAR PRABAWA UTAMA</t>
  </si>
  <si>
    <t>Jl. Raya Blora-Purwodadi km 15, Desa Trembulrejo, Kec. Ngawen, kab. Blora</t>
  </si>
  <si>
    <t>-7.020618497943226, 111.30319608855027</t>
  </si>
  <si>
    <t>PATRA TRADING CEPU</t>
  </si>
  <si>
    <t>Jl.Gajah Mada No.36, Cepu</t>
  </si>
  <si>
    <t>-7.137694, 111.59595</t>
  </si>
  <si>
    <t>236G</t>
  </si>
  <si>
    <t>MANDIRI ARTA KENCANA</t>
  </si>
  <si>
    <t>Kab Boyolali</t>
  </si>
  <si>
    <t>Jl. Raya Solo Semarang KM 18 Ketaon Banyudono Boyolali</t>
  </si>
  <si>
    <t>-7.534370037375159, 110.670643530622</t>
  </si>
  <si>
    <t>KAOSA RASMI SCADA</t>
  </si>
  <si>
    <t>Jl. Prof. Suharso, Rejosari, Desa Karanggeneng Kec.Boyolali</t>
  </si>
  <si>
    <t>-7.530841968969348, 110.6046857226283</t>
  </si>
  <si>
    <t>INDAH SRI REJEKI (BOYOLALI)</t>
  </si>
  <si>
    <t>239Z</t>
  </si>
  <si>
    <t>UNGGUL MANDIRI KENCANA</t>
  </si>
  <si>
    <t>Jl. Boyolali - Semarang KM 7, Desa Sidomulyo, Kec. Ampel, Kab. Boyolali - Jawa Tengah</t>
  </si>
  <si>
    <t>-7.485063618600583, 110.56859770035656</t>
  </si>
  <si>
    <t>236Q</t>
  </si>
  <si>
    <t>BREBES PUTRA</t>
  </si>
  <si>
    <t>Kab Brebes</t>
  </si>
  <si>
    <t>Jl. Raya Pejagan Ketanggungan RT.08/RW.06, Ds. Limbangan Kec. Keersana Kab. Brebes</t>
  </si>
  <si>
    <t>-6.901501, 108.889082</t>
  </si>
  <si>
    <t>C239A</t>
  </si>
  <si>
    <t>239A</t>
  </si>
  <si>
    <t>ANUGRAH TARUNA</t>
  </si>
  <si>
    <t>Jl. Raya Cimohong (Brebes-Cirebon) Km 20, Ds Bulak Paren Kec Bulakamba Kab Brebes</t>
  </si>
  <si>
    <t>-6.872379501367422, 108.90343337339056</t>
  </si>
  <si>
    <t>235H</t>
  </si>
  <si>
    <t>SETIA KAWAN GAS</t>
  </si>
  <si>
    <t>Jl. Raya Tonjong No. 50, RT 01  RW 08, Ds. Linggapura, Kec. Tonjong, Kab. Brebes</t>
  </si>
  <si>
    <t>-7.200739090673931, 109.02164181031713</t>
  </si>
  <si>
    <t>C2381</t>
  </si>
  <si>
    <t>MITHA JAYA KUSUMA</t>
  </si>
  <si>
    <t>Jl. PG. Banjaratma km 1,3 Kec. Wanasari Brebes</t>
  </si>
  <si>
    <t>-6.877973164871471, 109.00502811473422</t>
  </si>
  <si>
    <t>239Q</t>
  </si>
  <si>
    <t>GHONY PERSADA</t>
  </si>
  <si>
    <t>Jl. Raya Slatri-Larangan</t>
  </si>
  <si>
    <t>-6.942981108835243, 108.93492750312272</t>
  </si>
  <si>
    <t>239N</t>
  </si>
  <si>
    <t>INSAN MULIA ENERGI</t>
  </si>
  <si>
    <t>Kab Cilacap</t>
  </si>
  <si>
    <t>Jln. Raya Nasional Wangon-Majenang Km 72,4 RT 05/RW 02 Desa Cilempuyang, Kec. Cimanggu</t>
  </si>
  <si>
    <t>-7.335835, 108.826847</t>
  </si>
  <si>
    <t>235T</t>
  </si>
  <si>
    <t>TUNAS SEJATI</t>
  </si>
  <si>
    <t>Jl. Raya Sampang - Buntu No. 10 KM. 4, Ds. Karangjati, Kec. Sampang, Cilacap</t>
  </si>
  <si>
    <t>-7.56900005567449, 109.22120285352376</t>
  </si>
  <si>
    <t>239J</t>
  </si>
  <si>
    <t>ANUGERAH MAKMUR SEJAHTERA</t>
  </si>
  <si>
    <t>Jl. Raya Karangpucung - Sidareja KM 02 Dusun Jetak RT 05 RW 05 Ds. Sindangbarang, Karangpucung, Cilacap</t>
  </si>
  <si>
    <t>-7.4259779697281, 108.88961668527935</t>
  </si>
  <si>
    <t>237B</t>
  </si>
  <si>
    <t>PATRA TRADING CILACAP</t>
  </si>
  <si>
    <t>Jl. MT. Haryono-Kawasan Industri, Cilacap</t>
  </si>
  <si>
    <t>-7.690892, 109.004902</t>
  </si>
  <si>
    <t>237A</t>
  </si>
  <si>
    <t>CENTRAL GASINDO PRATAMA</t>
  </si>
  <si>
    <t>Kab Demak</t>
  </si>
  <si>
    <t>Jl. Raya Semarang-Gubug Km 17,7 Karangawen</t>
  </si>
  <si>
    <t>-7.034011645735754, 110.54661241674347</t>
  </si>
  <si>
    <t>235J</t>
  </si>
  <si>
    <t>INDOGAS HISWANA PRATAMA</t>
  </si>
  <si>
    <t>Jl. Raya Semarang - Demak KM. 20, Ds. Karangtowo, Kec. Karangtengah, Demak</t>
  </si>
  <si>
    <t>-6.921999793840568, 110.5874724553097</t>
  </si>
  <si>
    <t>235X</t>
  </si>
  <si>
    <t>CENTRAL GASINDO MULIA</t>
  </si>
  <si>
    <t>PANELIA EKI SATYA</t>
  </si>
  <si>
    <t>Jl. Raya Semarang - Demak Km 15, Ds. Batu, Kec. Karang tengah</t>
  </si>
  <si>
    <t>-6.929364493260338, 110.5492296456461</t>
  </si>
  <si>
    <t>PURI BAKTI SIWI</t>
  </si>
  <si>
    <t>Kab Grobogan</t>
  </si>
  <si>
    <t>Jl. Arteri Lingkar Utara RT. 003 RW. 002 Dusun Penganten, Desa Putat, Kecamatan Purwodadi, Grobogan</t>
  </si>
  <si>
    <t>-7.066497626130187, 110.88139320691782</t>
  </si>
  <si>
    <t>BINTANG ABADI</t>
  </si>
  <si>
    <t>Jl. Halte Mayahan, Putatsari Km 1 Dusun Plosonambangan RT 01/RW03 Rejosari Kec. Grobogan</t>
  </si>
  <si>
    <t>-7.06846776086877, 110.95412680433189</t>
  </si>
  <si>
    <t>239U</t>
  </si>
  <si>
    <t>SULTAN ALFATIH YUDISTIRA</t>
  </si>
  <si>
    <t>Jl. Dr Sutomo, RT. 002, Rw. 007, Grobogan</t>
  </si>
  <si>
    <t>-7.02468597426402, 110.88828595010148</t>
  </si>
  <si>
    <t>236E</t>
  </si>
  <si>
    <t>JEPARA ENERGI PERSADA</t>
  </si>
  <si>
    <t>Kab Jepara</t>
  </si>
  <si>
    <t>Jl. Lingkar Pecangaan RT. 15 RW. 02, Ds. Pulodarat, Pecangaan, Jepara</t>
  </si>
  <si>
    <t>-6.689161534734553, 110.71656563450674</t>
  </si>
  <si>
    <t>BERKAH SEJAHTERA</t>
  </si>
  <si>
    <t>Jl. Ngasirah 45, Desa Mulyoharjo</t>
  </si>
  <si>
    <t>-6.5877812965066, 110.68826932999205</t>
  </si>
  <si>
    <t>236U</t>
  </si>
  <si>
    <t>BASASA CINTARA CIPTA</t>
  </si>
  <si>
    <t>Jl. Raya Kelet - Jepara Km.34, Desa Kelet RT.38/RW. 001, Kec. Keling</t>
  </si>
  <si>
    <t>-6.488101, 110.894957</t>
  </si>
  <si>
    <t>235M</t>
  </si>
  <si>
    <t>SARIGAS PRIMA ABADI</t>
  </si>
  <si>
    <t>Kab Karanganyar</t>
  </si>
  <si>
    <t>Jl. Solo - Sragen Km. 7,8 Palur-Jetis, Jaten Solo</t>
  </si>
  <si>
    <t>-7.559031074406454, 110.89352253225702</t>
  </si>
  <si>
    <t>PANCADARMA PUSPAWIRA</t>
  </si>
  <si>
    <t>Desa Macanan, Kec.Kebakkramat, Surakarta Solo</t>
  </si>
  <si>
    <t>-7.541903393375327, 110.91619737344033</t>
  </si>
  <si>
    <t>236L</t>
  </si>
  <si>
    <t>WIJAYA SARANA GASINDO</t>
  </si>
  <si>
    <t>Jl. Raya Solo, Tawangmangu, Sengon, Karanganyar</t>
  </si>
  <si>
    <t>-7.618160, 111.002931</t>
  </si>
  <si>
    <t>239I</t>
  </si>
  <si>
    <t>NITA WIJAYA NIAGA</t>
  </si>
  <si>
    <t>Jl. Pattimura No. 53, Solo, Tundungan RT 06 RW 05, Sroyo, Jaten, Karanganyar</t>
  </si>
  <si>
    <t>-7.539542, 110.877827</t>
  </si>
  <si>
    <t>RESTUGAS AJI</t>
  </si>
  <si>
    <t>GIGA INTRAX (KEBUMEN)</t>
  </si>
  <si>
    <t>Kab Kebumen</t>
  </si>
  <si>
    <t>JL. RAYA KARANGANYAR KM 98 KEL. JATILUHUR, KARANGANYAR</t>
  </si>
  <si>
    <t>-7.641375194652337, 109.57943912911114</t>
  </si>
  <si>
    <t>236F</t>
  </si>
  <si>
    <t>GIRI SELOMAS</t>
  </si>
  <si>
    <t>Jl. Raya Gombong Barat KM 3 Purbowangi, Buayan, Kebumen</t>
  </si>
  <si>
    <t>-7.607522364487618, 109.47420122175296</t>
  </si>
  <si>
    <t>236M</t>
  </si>
  <si>
    <t>PUTRA RAMADHAN</t>
  </si>
  <si>
    <t>Jl. Lingkar Selatan, Ds Kalirejo, Kec. Kebumen, Kab. Kebumen</t>
  </si>
  <si>
    <t>-7.6931544393299705, 109.68699059268911</t>
  </si>
  <si>
    <t>239B</t>
  </si>
  <si>
    <t>MITRA PRASMITRA SELARAS</t>
  </si>
  <si>
    <t>Jl. Lingkar Selatan, Ds Kewayuhan Kec. Pejagoan Kab. Kebumen</t>
  </si>
  <si>
    <t>-7.688281492397584, 109.63242331924042</t>
  </si>
  <si>
    <t>AMANAH DATA REKA</t>
  </si>
  <si>
    <t>Kab Kendal</t>
  </si>
  <si>
    <t>Jl. Soekarno-Hatta Km. 12 Kel. Gemuh Kab. Kendal</t>
  </si>
  <si>
    <t>-6.944062189719025, 110.11318280748692</t>
  </si>
  <si>
    <t>SUMBER REJEKI ADI MULYA</t>
  </si>
  <si>
    <t>Jl. Lingkar Kaliwungu km 23</t>
  </si>
  <si>
    <t>-6.938517794464102, 110.24971011022103</t>
  </si>
  <si>
    <t>236N</t>
  </si>
  <si>
    <t>KENDAL BANGUN CIPTA SARANA</t>
  </si>
  <si>
    <t>Jl. Lingkar Kaliwungu Desa Wonorejo Kec. Kaliwungu Kab. Kendal</t>
  </si>
  <si>
    <t>-6.938206, 110.255955</t>
  </si>
  <si>
    <t>236H</t>
  </si>
  <si>
    <t>SINAR SAKTI</t>
  </si>
  <si>
    <t>Kab Kudus</t>
  </si>
  <si>
    <t>Jl. Lingkar Kudus - Jepara KM. 3, Ds. Garung Kidung, Kec. Kaliwungu, Kudus</t>
  </si>
  <si>
    <t>-6.80401832215516, 110.7936115688647</t>
  </si>
  <si>
    <t>236A</t>
  </si>
  <si>
    <t>NUSA PRADIPTA SEJATI</t>
  </si>
  <si>
    <t xml:space="preserve">Jl. Raya Kudus-Jepara Km 9 Ds.Papringan Kec.Kaliwungu </t>
  </si>
  <si>
    <t>-6.770064785828307, 110.77736549305621</t>
  </si>
  <si>
    <t>NUSA PRADIPTA SENTOSA</t>
  </si>
  <si>
    <t>236T</t>
  </si>
  <si>
    <t>LARIS BERKAH ANANDA</t>
  </si>
  <si>
    <t>Jl. Besito Raya No. 16 RT 01 RW 02 Kel. Besito Kec. Gebog Kab. Kudus</t>
  </si>
  <si>
    <t>-6.7649350, 110.8401428</t>
  </si>
  <si>
    <t>236J</t>
  </si>
  <si>
    <t>MNI INDONESIA</t>
  </si>
  <si>
    <t>Kab Magelang</t>
  </si>
  <si>
    <t>Jl. Raya Magelang - Purworejo Km. 4,5 No. 38 Banjarnegara, Mertoyudan, Kab. Magelang</t>
  </si>
  <si>
    <t>-7.527268893950364, 110.1816665771205</t>
  </si>
  <si>
    <t>KAYULIMA UTAMA</t>
  </si>
  <si>
    <t>Kp. Dudan RT3/10 Tidar Utara kec. Magelang selatan</t>
  </si>
  <si>
    <t>-7.491112291478524, 110.23610399687507</t>
  </si>
  <si>
    <t>235D</t>
  </si>
  <si>
    <t>ADHISATYA</t>
  </si>
  <si>
    <t>Kab Pati</t>
  </si>
  <si>
    <t>Jl. Pati - Tayu Km 7 Desa Sukoharjo Kec. Wedarijaksa Pati</t>
  </si>
  <si>
    <t>-6.699044984985001, 111.06154364580229</t>
  </si>
  <si>
    <t>REJEKI BERKAH EMPAT PUTRA</t>
  </si>
  <si>
    <t>Jl. Raya Pati - Kudus Km 6 Desa Sukokulon Kec.Margorejo, Ds. Sukokulon KM. 6 Margorejo, Pati</t>
  </si>
  <si>
    <t>-6.7771826938344555, 110.99316312908816</t>
  </si>
  <si>
    <t>236S</t>
  </si>
  <si>
    <t>CAHAYA ANANTA</t>
  </si>
  <si>
    <t>Jl Raya Pati Juwana km 7 Ds. Widorokandang, Pati</t>
  </si>
  <si>
    <t>-6.7381058, 111.0850120</t>
  </si>
  <si>
    <t>239W</t>
  </si>
  <si>
    <t>RARA DIAN PUSPITA</t>
  </si>
  <si>
    <t>Langenharjo, Kec. Margorejo, Kabupaten Pati, Jawa Tengah</t>
  </si>
  <si>
    <t>-6.788024212859763, 111.03052722012218</t>
  </si>
  <si>
    <t>239G</t>
  </si>
  <si>
    <t>TIGA BOLA</t>
  </si>
  <si>
    <t>Kab Pekalongan</t>
  </si>
  <si>
    <t>Jl. Raya Wangandowo RT 08 RW 04 Ds. Wangandowo, Kec. Bojong, Kab. Pekalongan</t>
  </si>
  <si>
    <t>-6.987455, 109.599251</t>
  </si>
  <si>
    <t>235I</t>
  </si>
  <si>
    <t>ELPINDO TRIKONCO</t>
  </si>
  <si>
    <t>Jl. Kauman, Wiradesa, Pekalongan</t>
  </si>
  <si>
    <t>-6.889513704347308, 109.60849320149292</t>
  </si>
  <si>
    <t>ANUGRAH PUTRA TUNGGAL JAYA</t>
  </si>
  <si>
    <t>JL. RAYA WIRADESA NO. 1 KAUMAN KECAMATAN WIRADESA</t>
  </si>
  <si>
    <t>-6.891529695012401, 109.6113649388537</t>
  </si>
  <si>
    <t>C2367</t>
  </si>
  <si>
    <t>WIRA SYAHBANA SEJAHTERA</t>
  </si>
  <si>
    <t>Kab Pemalang</t>
  </si>
  <si>
    <t>Jl. Letjrnd Suprapto - Lingkar Utara No. 2 Gandulan kec. Beji Pemalang</t>
  </si>
  <si>
    <t>-6.886354385474359, 109.43493091841435</t>
  </si>
  <si>
    <t>C2399</t>
  </si>
  <si>
    <t>SAPUTRA EMPAT SRIKANDI</t>
  </si>
  <si>
    <t>JL. Pantura Petarukan-Pekalongan RT 01 RW 01 Kel. Petarukan</t>
  </si>
  <si>
    <t>-6.892800311204096, 109.44276383412586</t>
  </si>
  <si>
    <t>KRAKATAU ALAM INDAH</t>
  </si>
  <si>
    <t>Jl. HOS Cokroaminoto Kec. Pemalang Pemalang</t>
  </si>
  <si>
    <t>-6.884486845029401, 109.36593600523629</t>
  </si>
  <si>
    <t>C239C</t>
  </si>
  <si>
    <t>239C</t>
  </si>
  <si>
    <t>KRAKATAU INDAH ABADI</t>
  </si>
  <si>
    <t>236V</t>
  </si>
  <si>
    <t>MANUNGGAL MAKMUR JAYA GAS</t>
  </si>
  <si>
    <t>Jl. Sumur Kidang, Sumurkidang, Kec. Bantarbolang, Kabupaten Pemalang, Jawa Tengah 52352</t>
  </si>
  <si>
    <t>-7.088136, 109.366094</t>
  </si>
  <si>
    <t>SERAYU GAS ABADI</t>
  </si>
  <si>
    <t>Kab Purbalingga</t>
  </si>
  <si>
    <t>Jl. Raya Bukateja Ketawis, Desa Kedungjati, Kec.Bukateja, Kab. Purbalingga</t>
  </si>
  <si>
    <t>-7.427914540828995, 109.44212493313681</t>
  </si>
  <si>
    <t>239O</t>
  </si>
  <si>
    <t>BITCOM ASRI ENERGI</t>
  </si>
  <si>
    <t xml:space="preserve">Jl. AW Sumarmo Km 4 No.40 Kojangan, Bobotsari </t>
  </si>
  <si>
    <t>-7.358121406901272, 109.35535490718554</t>
  </si>
  <si>
    <t>NISIHA BIRU ABADI</t>
  </si>
  <si>
    <t>Kab Purworejo</t>
  </si>
  <si>
    <t>Jl. Kutoarjo-Kebumen Km 4 Desa Andong Kec. Butuh</t>
  </si>
  <si>
    <t>-7.724162755374904, 109.8734108076605</t>
  </si>
  <si>
    <t>239K</t>
  </si>
  <si>
    <t>BANYUMAS MAKMUR ARTIKANA GASINDO</t>
  </si>
  <si>
    <t>Jl. Kisar No. 24 Karang Klesem, Purwokerto</t>
  </si>
  <si>
    <t>-7.614874902680153, 110.05950288750033</t>
  </si>
  <si>
    <t>235N</t>
  </si>
  <si>
    <t>INDAH SRI REJEKI (REMBANG)</t>
  </si>
  <si>
    <t>Kab Rembang</t>
  </si>
  <si>
    <t>Jl. Raya Lasem Rembang KM 05 , Desa Pasar Banggi</t>
  </si>
  <si>
    <t>-6.703179137559683, 111.39367464497944</t>
  </si>
  <si>
    <t>239V</t>
  </si>
  <si>
    <t>SEKAR MELATI PUTIH</t>
  </si>
  <si>
    <t>Jl. Raya Rembang - Juwana KM. 5</t>
  </si>
  <si>
    <t>-6.696236, 111.270419</t>
  </si>
  <si>
    <t>235Z</t>
  </si>
  <si>
    <t>SATRIA SARANA RAHARJA</t>
  </si>
  <si>
    <t>Kab Semarang</t>
  </si>
  <si>
    <t>Jl. Gedongsongo Kel. Candirejo Ungaran</t>
  </si>
  <si>
    <t>-7.274563570531562, 110.4566389733656</t>
  </si>
  <si>
    <t>ADIPUTRA GAS NUSANTARA</t>
  </si>
  <si>
    <t>Jl. Raya Soekarno-Hatta Km. 28 Karang Jati - Kab. Semarang</t>
  </si>
  <si>
    <t>-7.197303237815042, 110.42772092653351</t>
  </si>
  <si>
    <t>DHARMASRANA RAHARDJA</t>
  </si>
  <si>
    <t>239T</t>
  </si>
  <si>
    <t>ANANDA RASYA PUTRA</t>
  </si>
  <si>
    <t>Jl. Raya Ambarawa-Magelang, Karang Kerah, Gondoriyo, Kec. Jambu</t>
  </si>
  <si>
    <t>-7.2732437, 110.3724235</t>
  </si>
  <si>
    <t>AROMA JAYA SEJATI</t>
  </si>
  <si>
    <t>Kab Sragen</t>
  </si>
  <si>
    <t>Jl. Jalan Hayam Wuruk No. 50, Kampung Jelis, Sragen Kulon, Sragen</t>
  </si>
  <si>
    <t>-7.362046275383315, 111.12281202099176</t>
  </si>
  <si>
    <t>SENDANG MULYO (SRAGEN)</t>
  </si>
  <si>
    <t>Jl. Raya Solo - Purwodadi KM. 25, Ds. Soko, Kec. Miri, Sragen.</t>
  </si>
  <si>
    <t>-7.355140144469036, 110.83585459175197</t>
  </si>
  <si>
    <t>236W</t>
  </si>
  <si>
    <t>BOYOLALI GAS MANDIRI</t>
  </si>
  <si>
    <t>Jl. Maospati - Solo, Dusun I, Sambungmacan, Kec. Sambungmacan, Kabupaten Sragen, Jawa Tengah</t>
  </si>
  <si>
    <t>-7.369065,111.111936</t>
  </si>
  <si>
    <t>239Y</t>
  </si>
  <si>
    <t>PALARASAN LEGEN ESTU</t>
  </si>
  <si>
    <t>Jl. Jaten, Pelem Gadung, Kec. Karangmalang, Kabupaten Sragen, Jawa Tengah</t>
  </si>
  <si>
    <t>-7.430902866390322, 111.05135161285966</t>
  </si>
  <si>
    <t>ANUGERAH TERANG ABADI GASINDO</t>
  </si>
  <si>
    <t>Kab Sukoharjo</t>
  </si>
  <si>
    <t>Ds/Kel. Parangjoro, Grogol, Sukoharjo</t>
  </si>
  <si>
    <t>-7.646711508931933, 110.81444737606694</t>
  </si>
  <si>
    <t>SARANA INVESTA UTAMA</t>
  </si>
  <si>
    <t>Jl.Raya Manang, Desa Manang, Kec.Grogol</t>
  </si>
  <si>
    <t>-7.589584944416301, 110.78778286339208</t>
  </si>
  <si>
    <t>239X</t>
  </si>
  <si>
    <t>AWARIS MANUNGGAL GASINDO</t>
  </si>
  <si>
    <t>Tempukrejo, Mojorejo, Kec. Bendosari, Kabupaten Sukoharjo, Jawa Tengah</t>
  </si>
  <si>
    <t>-7.700003854923637, 110.917000500082</t>
  </si>
  <si>
    <t>C2391</t>
  </si>
  <si>
    <t>AGUNG SEBAYU GAS</t>
  </si>
  <si>
    <t>Kab Tegal</t>
  </si>
  <si>
    <t>Jl. Raya Barat Durensawit Kec. Lebaksiu Kab. Tegal</t>
  </si>
  <si>
    <t>-7.04902996896056, 109.11498878774876</t>
  </si>
  <si>
    <t>235W</t>
  </si>
  <si>
    <t>DIRGANTARA SURYA BHAKTIUTAMA</t>
  </si>
  <si>
    <t>Jl. Raya Sidadardja (Tegal-Pemalang) Km. 12 kec. Suradadi Tegal</t>
  </si>
  <si>
    <t>-6.874019777832724, 109.24198483543758</t>
  </si>
  <si>
    <t>C236O</t>
  </si>
  <si>
    <t>236O</t>
  </si>
  <si>
    <t>BUMI SIDOARUM ENERGI</t>
  </si>
  <si>
    <t>JL. RAYA PANGKAH RT.12/02, KEC.PANGKAH, Kab. Tegal</t>
  </si>
  <si>
    <t>-6.983708, 109.161801</t>
  </si>
  <si>
    <t>DIRGANTARA BAKTI SENTAUSA</t>
  </si>
  <si>
    <t>PATRA TRADING TEGAL</t>
  </si>
  <si>
    <t>Jl. Garuda No.38 Desa Munjung Agung, Larangan Kec.Kramat Kab.Tegal</t>
  </si>
  <si>
    <t>-6.872348520359612, 109.18660493723932</t>
  </si>
  <si>
    <t>236R</t>
  </si>
  <si>
    <t>ABDI MANUNGGAL TEGAL</t>
  </si>
  <si>
    <t>Jl. Raya Tegal - Pemalang, Ds. Kramat, Kab. Tegal</t>
  </si>
  <si>
    <t>-6.8677755, 109.2043991</t>
  </si>
  <si>
    <t>USAHA DUA SAHABAT</t>
  </si>
  <si>
    <t>Kab Temanggung</t>
  </si>
  <si>
    <t>Jl. Raya Kranggan-Pringsurat KM 6.4, Temanggung</t>
  </si>
  <si>
    <t>-7.355706367777189, 110.2215538161872</t>
  </si>
  <si>
    <t>239E</t>
  </si>
  <si>
    <t>MITRA MANUNGGAL PERKASA</t>
  </si>
  <si>
    <t xml:space="preserve">Jl. Raya Kedu - Parakan KM 09 Desa Mojo Tengah, Kec. Kedu </t>
  </si>
  <si>
    <t>-7.278442548105626, 110.12669826205153</t>
  </si>
  <si>
    <t>235E</t>
  </si>
  <si>
    <t>KARTIKA DARMA</t>
  </si>
  <si>
    <t>Kab Wonogiri</t>
  </si>
  <si>
    <t>Manggis RT 01 RW 11 Desa Ngadirojo Kidul, Kecamatan Ngadirojo</t>
  </si>
  <si>
    <t>-7.820790048311466, 110.99722440861562</t>
  </si>
  <si>
    <t>239M</t>
  </si>
  <si>
    <t>SENDANG MULYO (WONOGIRI)</t>
  </si>
  <si>
    <t>DK. PENCOL RT.001 RW.008 NGADIROJO NGUNTORONADI - WONOGIRI</t>
  </si>
  <si>
    <t>-7.873473, 110.964249</t>
  </si>
  <si>
    <t>AJI GAMITA</t>
  </si>
  <si>
    <t>Kab Wonosobo</t>
  </si>
  <si>
    <t>Jl. Raya Banyumas Km 11, Desa Selokromo,Kec. Leksono</t>
  </si>
  <si>
    <t>-7.425829605193342, 109.84918854149785</t>
  </si>
  <si>
    <t>239R</t>
  </si>
  <si>
    <t>ERA GAS SENTOSA</t>
  </si>
  <si>
    <t>Jl Raya Banyumas Km 6 Jagalan, R 05/08, Dusun Jagalan, Dessa Selomerto, kec Selomerto, Wonosobo</t>
  </si>
  <si>
    <t>-7.418807, 109.879901</t>
  </si>
  <si>
    <t>235A</t>
  </si>
  <si>
    <t>KARYA NIAGA MAS</t>
  </si>
  <si>
    <t>Kota Pekalongan</t>
  </si>
  <si>
    <t>Jl. Kapten Pattimura, Gamer - pekalongan Timur</t>
  </si>
  <si>
    <t>-6.900651438588143, 109.6992891530893</t>
  </si>
  <si>
    <t>235G</t>
  </si>
  <si>
    <t>YOSO ARTHO POTRO</t>
  </si>
  <si>
    <t>Kota Salatiga</t>
  </si>
  <si>
    <t>Pulutan RT. 03 Rw 05 Kel. Pulutan, Kec. Sidorejo</t>
  </si>
  <si>
    <t>-7.311746583270268, 110.47581945941714</t>
  </si>
  <si>
    <t>235Q</t>
  </si>
  <si>
    <t>CAPITALREALM INDONESIA (SALATIGA)</t>
  </si>
  <si>
    <t>Jl. Arjuna RT 02 RW 02, Pamot, Noborejo, Salatiga</t>
  </si>
  <si>
    <t>-7.373293805083455, 110.50480774271436</t>
  </si>
  <si>
    <t>239F</t>
  </si>
  <si>
    <t>GAS SONO PUTRA</t>
  </si>
  <si>
    <t>Jl. Raya Kaligawe Km. 5-6  Kws Industri Terboyo Blok M.104-107 Semarang</t>
  </si>
  <si>
    <t>-6.943541635761603, 110.46463078053</t>
  </si>
  <si>
    <t>PURI KENCANA MERDEKA UTAMA</t>
  </si>
  <si>
    <t>Kota Semarang</t>
  </si>
  <si>
    <t>Kawasan Industri Candi blok 11 no 8, Bambankerep, Ngaliyan, Semarang 50182</t>
  </si>
  <si>
    <t>-7.007653439609758, 110.3603862717547</t>
  </si>
  <si>
    <t>235L</t>
  </si>
  <si>
    <t>PURI SAKTI ENERGI PERKASA</t>
  </si>
  <si>
    <t>Jl. Tambak Aji II/4 Kec. Tugu Semarang</t>
  </si>
  <si>
    <t>-6.990661693471107, 110.33776120011518</t>
  </si>
  <si>
    <t>235F</t>
  </si>
  <si>
    <t>LINGGA JATI ALMUSHOWA</t>
  </si>
  <si>
    <t>JL. RAYA WALISONGO KM 9 SEMARANG</t>
  </si>
  <si>
    <t>-6.98194792533315, 110.35510903046466</t>
  </si>
  <si>
    <t>MANGGALA PURI SAKTI</t>
  </si>
  <si>
    <t>LUMBUNG ENERGI BUMI</t>
  </si>
  <si>
    <t>236I</t>
  </si>
  <si>
    <t>POST ENERGY INDONESIA</t>
  </si>
  <si>
    <t>Jl. Arteri Yos Sudarso, Kawasan Industri Cipta B-5 Semarang</t>
  </si>
  <si>
    <t>-6.9541474948999555, 110.41361753088589</t>
  </si>
  <si>
    <t>235V</t>
  </si>
  <si>
    <t>SATYA MITRA GAS</t>
  </si>
  <si>
    <t>Dk. Sumberjo RT. V RW. 5, Meteseh, Tembalang, Semarang</t>
  </si>
  <si>
    <t>-7.064757197108743, 110.4704055655975</t>
  </si>
  <si>
    <t>239D</t>
  </si>
  <si>
    <t>OPTIMA DAYA KAPITAL</t>
  </si>
  <si>
    <t>Jl. Raya Gunung Pati, Cangkiran, RT. 01, RW. 08 Kel. Gunung Pati, Kec. Gunung Pati</t>
  </si>
  <si>
    <t>-7.091258350476699, 110.35873907481201</t>
  </si>
  <si>
    <t>235K</t>
  </si>
  <si>
    <t>SEKAWAN MAJU MAPAN (SURAKARTA)</t>
  </si>
  <si>
    <t>Kota Surakarta</t>
  </si>
  <si>
    <t>Jl. Raya Ring Road Utara KM. 5,7 Mojosongo, Solo</t>
  </si>
  <si>
    <t>-7.54198, 110.860695</t>
  </si>
  <si>
    <t>239L</t>
  </si>
  <si>
    <t>REZEKI RATU ISLAMI</t>
  </si>
  <si>
    <t>Jl. Sindoro Raya Mertoyudan Kel. Mojosongo, Kec. Jebres, Surakarta</t>
  </si>
  <si>
    <t>-7.543421233191328, 110.85017964828774</t>
  </si>
  <si>
    <t>C2364</t>
  </si>
  <si>
    <t>ARWANA JAYA SENTOSA</t>
  </si>
  <si>
    <t>Kota Tegal</t>
  </si>
  <si>
    <t>Jl. Mataram No.9 Muarareja</t>
  </si>
  <si>
    <t>-6.850048195842825, 109.1073796631223</t>
  </si>
  <si>
    <t>236X</t>
  </si>
  <si>
    <t>SINERGI REJEKI GEMILANG</t>
  </si>
  <si>
    <t>WFJF+3WC, Jl. Muntuksari Raya, Rowosari, Kec. Tembalang, Kota Semarang, Jawa Tengah 50279</t>
  </si>
  <si>
    <t>-7.069864385971852, 110.47542406483278</t>
  </si>
  <si>
    <t>236Y</t>
  </si>
  <si>
    <t>ADIPUTRA SRI REJEKI</t>
  </si>
  <si>
    <t>J7G5+QW9, Krajan II, Krajan 2, Soropadan, Kec. Pringsurat, Kabupaten Temanggung, Jawa Tengah 56272</t>
  </si>
  <si>
    <t>-7.373076002446788, 110.25989244903748</t>
  </si>
  <si>
    <t>C248L</t>
  </si>
  <si>
    <t>248L</t>
  </si>
  <si>
    <t>PUTRA BALI DWIPA</t>
  </si>
  <si>
    <t>Kab Badung</t>
  </si>
  <si>
    <t>Bali</t>
  </si>
  <si>
    <t>Jl. Raya Sedang Desa Sedang Kecamatan Abiansemal</t>
  </si>
  <si>
    <t>-8.562882, 115.234052</t>
  </si>
  <si>
    <t>C249M</t>
  </si>
  <si>
    <t>249M</t>
  </si>
  <si>
    <t>EKA JAYA GASINDO</t>
  </si>
  <si>
    <t>C248E</t>
  </si>
  <si>
    <t>248E</t>
  </si>
  <si>
    <t>SEGARA WINDHU DEWATA</t>
  </si>
  <si>
    <t>Kab Bangli</t>
  </si>
  <si>
    <t>Jl Raya Desa Tiga Kecamatan Susut</t>
  </si>
  <si>
    <t>-8.375909, 115.354122</t>
  </si>
  <si>
    <t>C248O</t>
  </si>
  <si>
    <t>248O</t>
  </si>
  <si>
    <t>SUMBER REJEKI DEWATA</t>
  </si>
  <si>
    <t>Jl. Nusantara, Br. Dajan Umah, Ds. Pengotan, Kec. Bangli</t>
  </si>
  <si>
    <t>-8.3183900, 115.3607260</t>
  </si>
  <si>
    <t>C2481</t>
  </si>
  <si>
    <t>AYU SARI PERTIWI</t>
  </si>
  <si>
    <t>Kab Buleleng</t>
  </si>
  <si>
    <t>Banjar Dinas Bingin Banjah Desa Temukus Kecamatan Banjar</t>
  </si>
  <si>
    <t>-8.176407, 115.0035427</t>
  </si>
  <si>
    <t>C248Q</t>
  </si>
  <si>
    <t>248Q</t>
  </si>
  <si>
    <t>GAYA INVESTAMA</t>
  </si>
  <si>
    <t>Jl. Pangilaila, Ds. Bila, Kec. Kubu Tambahan, Kab. Buleleng</t>
  </si>
  <si>
    <t>-8.090588783341474, 115.17650593482679</t>
  </si>
  <si>
    <t>C246J</t>
  </si>
  <si>
    <t>246J</t>
  </si>
  <si>
    <t>DASICO PANCA RENA</t>
  </si>
  <si>
    <t>Kab Gianyar</t>
  </si>
  <si>
    <t>Jln Prof. Dr. Ida Bagus Mantra No. 45X Ds. Keramas Kec. Blahbatuh</t>
  </si>
  <si>
    <t>-8.593893, 115.337799</t>
  </si>
  <si>
    <t>C248X</t>
  </si>
  <si>
    <t>248X</t>
  </si>
  <si>
    <t>PRAPEN ARTHA DEWATA</t>
  </si>
  <si>
    <t>Br. Keranjangan Ds. Manukaya, Kec. Tampaksiring Kab.Gianyar – Bali.</t>
  </si>
  <si>
    <t>-8.398842358254512, 115.32647731260442</t>
  </si>
  <si>
    <t>C245S</t>
  </si>
  <si>
    <t>245S</t>
  </si>
  <si>
    <t>PANDE AGUNG DEWATA</t>
  </si>
  <si>
    <t>Kab Jembrana</t>
  </si>
  <si>
    <t>Jl. Raya Denpasar - Gilimanuk Ds. Pangyangan Kec. Pekutatan</t>
  </si>
  <si>
    <t>-8.437391, 114.864004</t>
  </si>
  <si>
    <t>C247Y</t>
  </si>
  <si>
    <t>247Y</t>
  </si>
  <si>
    <t>PRAPEN ANANDA DEWATA</t>
  </si>
  <si>
    <t>Kab Karangasem</t>
  </si>
  <si>
    <t>Banjar Pangitebel Desa Antiga Kelod Kecamatan Manggis</t>
  </si>
  <si>
    <t>-8.531473, 115.495769</t>
  </si>
  <si>
    <t>C248P</t>
  </si>
  <si>
    <t>248P</t>
  </si>
  <si>
    <t>GASARI MAS TIMUR</t>
  </si>
  <si>
    <t>Jl. Ahmad Yani Kel. Subagan, Kec. Karangasem</t>
  </si>
  <si>
    <t>-8.455519220502794, 115.6023202769121</t>
  </si>
  <si>
    <t>C247L</t>
  </si>
  <si>
    <t>247L</t>
  </si>
  <si>
    <t>PANCADARMA PUSPAWIRA PUTRA</t>
  </si>
  <si>
    <t>Kab Klungkung</t>
  </si>
  <si>
    <t>Desa Satra Kec. Klungkung</t>
  </si>
  <si>
    <t>-8.567090, 115.396162</t>
  </si>
  <si>
    <t>C2463</t>
  </si>
  <si>
    <t>KIANI PACIFIC NUSANTARA</t>
  </si>
  <si>
    <t>Kab Tabanan</t>
  </si>
  <si>
    <t>Jl. Raya Kediri Tanah Lot km. 4 Br. Batan Poh Pandak Gede Kediri</t>
  </si>
  <si>
    <t>-8.582799, 115.126478</t>
  </si>
  <si>
    <t>C247W</t>
  </si>
  <si>
    <t>247W</t>
  </si>
  <si>
    <t>KIANI JAYA ABADI</t>
  </si>
  <si>
    <t>C248I</t>
  </si>
  <si>
    <t>248I</t>
  </si>
  <si>
    <t>SEMBILAN SEMANGAT</t>
  </si>
  <si>
    <t>Jl Raya Singaraja - Denpasar Km.37 Ds Mekarsari Kec. Baturiti</t>
  </si>
  <si>
    <t>-8.3621266, 115.1908781</t>
  </si>
  <si>
    <t>C2457</t>
  </si>
  <si>
    <t>SINAR MUTIARA INDAH (DENPASAR)</t>
  </si>
  <si>
    <t>Kota Denpasar</t>
  </si>
  <si>
    <t>Jln. By Pass I Ngurah Rai, Banjar Pesanggaran</t>
  </si>
  <si>
    <t>-8.716813, 115.217447</t>
  </si>
  <si>
    <t>C2459</t>
  </si>
  <si>
    <t>DEWATA GASSARI</t>
  </si>
  <si>
    <t>Jl. Gatot Subroto No. 66 Denpasar</t>
  </si>
  <si>
    <t>-8.635499, 115.244425</t>
  </si>
  <si>
    <t>C247H</t>
  </si>
  <si>
    <t>247H</t>
  </si>
  <si>
    <t>SADIKUN LPG 3 KG (DENPASAR)</t>
  </si>
  <si>
    <t>C247P</t>
  </si>
  <si>
    <t>247P</t>
  </si>
  <si>
    <t>SARI DHARMA MANDIRI</t>
  </si>
  <si>
    <t>C249P</t>
  </si>
  <si>
    <t>249P</t>
  </si>
  <si>
    <t>CANDRA KARYA GAS</t>
  </si>
  <si>
    <t>Jl. Trenggana No.114, Penatih, Kec. Denpasar Tim., Kota Denpasar, Bali 80238</t>
  </si>
  <si>
    <t>-8.605283, 115.235435</t>
  </si>
  <si>
    <t>248F</t>
  </si>
  <si>
    <t>TRIJAYA ADYMIX</t>
  </si>
  <si>
    <t>Kab Bangkalan</t>
  </si>
  <si>
    <t>Jawa Timur</t>
  </si>
  <si>
    <t>Jl. Raya Akses Suramadu Ds. Masaran Kec. Tragah</t>
  </si>
  <si>
    <t>-7.095391, 112.797434</t>
  </si>
  <si>
    <t>GAS CAHAYA MAKMUR</t>
  </si>
  <si>
    <t>Area Sawah/Kebun, Petapan, Kec. Labang, Kabupaten Bangkalan, Jawa Timur</t>
  </si>
  <si>
    <t>-7.108611, 112.796889</t>
  </si>
  <si>
    <t>246W</t>
  </si>
  <si>
    <t>BUMI JAYA MANDIRI</t>
  </si>
  <si>
    <t>Kab Banyuwangi</t>
  </si>
  <si>
    <t>Desa Gambor Kecamatan Singojuruh</t>
  </si>
  <si>
    <t>-8.335388, 114.248080</t>
  </si>
  <si>
    <t>SUMMITAMA INTINUSA</t>
  </si>
  <si>
    <t>Jl. Transmigrasi RT 02 RW 04 Dusun Gunung Remuk, Kec. Kalipuro, Kabupaten Banyuwangi</t>
  </si>
  <si>
    <t>-8.133475, 114.397957</t>
  </si>
  <si>
    <t>247K</t>
  </si>
  <si>
    <t>SUMMITAMA SURYANUSA</t>
  </si>
  <si>
    <t>247X</t>
  </si>
  <si>
    <t>ESA KEKAL SEJAHTERA</t>
  </si>
  <si>
    <t>Dusun Gebang Ds. Benelankidul Kec. Singojuruh</t>
  </si>
  <si>
    <t>-8.329530, 114.259605</t>
  </si>
  <si>
    <t>ARGOPURO MAJU SUKSES</t>
  </si>
  <si>
    <t>Jl. Argopuro No. 65 Kalipuro</t>
  </si>
  <si>
    <t>-8.183396, 114.362509</t>
  </si>
  <si>
    <t>PATRA TRADING BANYUWANGI</t>
  </si>
  <si>
    <t>Jl. Gatot Subroto No. 72</t>
  </si>
  <si>
    <t>-8.135789, 114.400676</t>
  </si>
  <si>
    <t>249O</t>
  </si>
  <si>
    <t>TRIADMADJA HUTAMA PERSADA</t>
  </si>
  <si>
    <t>Jl.Lingkar Barat, Gurit, Pengatigan, Kec. Rogojampi, Kabupaten Banyuwangi, Jawa Timur</t>
  </si>
  <si>
    <t>-8.299063, 114.285424</t>
  </si>
  <si>
    <t>FELICE MITRA SEJATI</t>
  </si>
  <si>
    <t>Susukan Kidul, Gladag, Kec. Rogojampi, Kabupaten Banyuwangi, Jawa Timur 68462</t>
  </si>
  <si>
    <t>-8.338275, 114.302619</t>
  </si>
  <si>
    <t>246E</t>
  </si>
  <si>
    <t>MODERNA TEHNIK PERKASA</t>
  </si>
  <si>
    <t>Kab Blitar</t>
  </si>
  <si>
    <t>Jl. Raya Jimbe Kec. Kademangan</t>
  </si>
  <si>
    <t>-8.133317, 112.131956</t>
  </si>
  <si>
    <t>246S</t>
  </si>
  <si>
    <t>AGUNG CATUR UTAMA GROUP</t>
  </si>
  <si>
    <t>Jl. Raya Garum Km. 08 Desa Bence</t>
  </si>
  <si>
    <t>-8.076419, 112.230128</t>
  </si>
  <si>
    <t>246C</t>
  </si>
  <si>
    <t>CAHAYA NEGERI</t>
  </si>
  <si>
    <t>Kab Bojonegoro</t>
  </si>
  <si>
    <t>Jl. Raya Bojonegoro Cepu Km. 7 Desa Pungpungan Kec. Kalitidu</t>
  </si>
  <si>
    <t>-7.136930062348222, 111.815230859782</t>
  </si>
  <si>
    <t>246R</t>
  </si>
  <si>
    <t>KURNIAWAN MEKAR AGUNG ABADI</t>
  </si>
  <si>
    <t>Jl. Ahmad Yani No. 160  Padangan</t>
  </si>
  <si>
    <t>-7.161548, 111.636965</t>
  </si>
  <si>
    <t>247D</t>
  </si>
  <si>
    <t>LA TUNSA</t>
  </si>
  <si>
    <t>Jl. Sikutan No. 334 Sumberejo</t>
  </si>
  <si>
    <t>-7.164995227067908, 112.03860686145502</t>
  </si>
  <si>
    <t>246F</t>
  </si>
  <si>
    <t>SWARNA BINA UTAMA</t>
  </si>
  <si>
    <t>Jl. Raya Kapas Ds. Plesungan Kec. Kapas</t>
  </si>
  <si>
    <t>-7.191420, 111.921586</t>
  </si>
  <si>
    <t>246N</t>
  </si>
  <si>
    <t>ARIA ENERGY PERSADA</t>
  </si>
  <si>
    <t>Kab Bondowoso</t>
  </si>
  <si>
    <t>Jl. Desa Taman Kecamatan Grujugan</t>
  </si>
  <si>
    <t>-7.971805, 113.799350</t>
  </si>
  <si>
    <t>C2452</t>
  </si>
  <si>
    <t>ADI KARTIKA SATRIA</t>
  </si>
  <si>
    <t>Kab Gresik</t>
  </si>
  <si>
    <t>Ds. Sukomulyo Km. 24 Kec. Manyar</t>
  </si>
  <si>
    <t>-7.131534, 112.614421</t>
  </si>
  <si>
    <t>247E</t>
  </si>
  <si>
    <t>SUGIHARTO BERJAYA</t>
  </si>
  <si>
    <t>CAHAYA ANUGERAH GASINDO</t>
  </si>
  <si>
    <t xml:space="preserve"> Jl. Raya Romokalisari Kawasan Bumi Maspion</t>
  </si>
  <si>
    <t>-7.193696, 112.640634</t>
  </si>
  <si>
    <t>245D</t>
  </si>
  <si>
    <t>TIGA SEJAHTERA BERSAMA</t>
  </si>
  <si>
    <t>Jl. Ry. Setrohadi Ds. Setrohadi, Kec. Duduk Sampeyan</t>
  </si>
  <si>
    <t>-7.148921, 112.511915</t>
  </si>
  <si>
    <t>245W</t>
  </si>
  <si>
    <t>MITRAMAS PURI ARTHA</t>
  </si>
  <si>
    <t>Jl. Krikilan RT. 02 RW. 05 Desa Banjaran Kec. Driyorejo</t>
  </si>
  <si>
    <t>-7.360130, 112.585886</t>
  </si>
  <si>
    <t>246L</t>
  </si>
  <si>
    <t>PERMATA ENERGI INDONESIA</t>
  </si>
  <si>
    <t>Jl. Mayjend Sungkono no. 127</t>
  </si>
  <si>
    <t>-7.173821, 112.621314</t>
  </si>
  <si>
    <t>246Q</t>
  </si>
  <si>
    <t>GERBANG BUANA BANDUNG RAYA</t>
  </si>
  <si>
    <t>Jl. Dukuh Gendong Kel. Romokalisari Kec. Benowo</t>
  </si>
  <si>
    <t>-7.196141, 112.629921</t>
  </si>
  <si>
    <t>245F</t>
  </si>
  <si>
    <t>TRI TUNGGAL ARGOPURO MANDIRI</t>
  </si>
  <si>
    <t>Kab Jember</t>
  </si>
  <si>
    <t>Jl. Raya Langkap Ds. Langkap,Kec. Bangsalsari</t>
  </si>
  <si>
    <t>-8.2004433, 113.544204</t>
  </si>
  <si>
    <t>BUMI GASINDO RAYA</t>
  </si>
  <si>
    <t>Jl. Airlangga Km. 4 Ds. Rowotamtu Kec. Rambipuji</t>
  </si>
  <si>
    <t>-8.235163, 113.574605</t>
  </si>
  <si>
    <t>SUMBER MAKMUR MEGAH ABADI</t>
  </si>
  <si>
    <t>Jl. Raya Jember - Bondowoso KM. 16 Desa Suger, Kec. Jelbuk</t>
  </si>
  <si>
    <t>-8.052736, 113.775918</t>
  </si>
  <si>
    <t>248U</t>
  </si>
  <si>
    <t>MEGA HULU ENERGI</t>
  </si>
  <si>
    <t>Desa Klompangan, Kec. Ajung, Kab. Jember</t>
  </si>
  <si>
    <t>-8.228771512972376, 113.6559070662197</t>
  </si>
  <si>
    <t>249G</t>
  </si>
  <si>
    <t>KARYA GEMILANG GAS SEJAHTERA</t>
  </si>
  <si>
    <t>Jl. Abdul Wahid, Langsepam, Rowo Indah, Kec. Ajung, Kabupaten Jember, Jawa Timur</t>
  </si>
  <si>
    <t>-8.209393692837825, 113.72607178688996</t>
  </si>
  <si>
    <t>PATRA TRADING JEMBER</t>
  </si>
  <si>
    <t>Jl. Kenanga 83</t>
  </si>
  <si>
    <t>-8.169731, 113.692658</t>
  </si>
  <si>
    <t>245K</t>
  </si>
  <si>
    <t>TRIJAYA ADYMIX MANDIRI</t>
  </si>
  <si>
    <t>Kab Jombang</t>
  </si>
  <si>
    <t>Jl. Desa Tejo Kecamatan Mojoangung</t>
  </si>
  <si>
    <t>-7.564104, 112.325508</t>
  </si>
  <si>
    <t>246Z</t>
  </si>
  <si>
    <t>DIVA GAS</t>
  </si>
  <si>
    <t>Jl. Desa Pundong Kecamatan Diwek</t>
  </si>
  <si>
    <t>-7.588753, 112.203383</t>
  </si>
  <si>
    <t>SUMBERBINA USAHAMANDIRI</t>
  </si>
  <si>
    <t>Jln. Jombang Kertosono Km 9</t>
  </si>
  <si>
    <t>-7.576198, 112.182571</t>
  </si>
  <si>
    <t>GAS BUMI NUSANTARA JAYA</t>
  </si>
  <si>
    <t>Jl. A. Yani 100, Kertosono - Kab. Nganjuk</t>
  </si>
  <si>
    <t>-7.593848, 112.126505</t>
  </si>
  <si>
    <t>247B</t>
  </si>
  <si>
    <t>PETROGAS JATIM UTAMA</t>
  </si>
  <si>
    <t>Desa Laksari Kec. Mojowarno Kab. Jombang</t>
  </si>
  <si>
    <t>-7.653482, 112.289053</t>
  </si>
  <si>
    <t>SINAR HASIL BUANA</t>
  </si>
  <si>
    <t>Kab Kediri</t>
  </si>
  <si>
    <t>Jl. Raya Kediri - Kertosono Km.8 Desa Ngebrak Kec. Gampengrejo</t>
  </si>
  <si>
    <t>-7.749421, 112.033837</t>
  </si>
  <si>
    <t>245E</t>
  </si>
  <si>
    <t>NARA RIZKA MANUNGGAL</t>
  </si>
  <si>
    <t>Jl. Soekarno Hatta 02, Ds. Sukorejo, Kecamatan Gampangrejo</t>
  </si>
  <si>
    <t>-7.901775, 112.026669</t>
  </si>
  <si>
    <t>245M</t>
  </si>
  <si>
    <t>DIAN RAMA GAS</t>
  </si>
  <si>
    <t>Jl. Joyokusumo Desa Wonojoyo Kecamatan Gurah</t>
  </si>
  <si>
    <t>-7.814581, 112.082736</t>
  </si>
  <si>
    <t>247N</t>
  </si>
  <si>
    <t>PANDU MANUNGGAL KARSA</t>
  </si>
  <si>
    <t>248D</t>
  </si>
  <si>
    <t>RADIMA JAYA KEDIRI</t>
  </si>
  <si>
    <t>Jl. Raya Mejono RT 03 RW 01 Ds. Mejono Plemahan</t>
  </si>
  <si>
    <t>-7.731780, 112.146857</t>
  </si>
  <si>
    <t>245N</t>
  </si>
  <si>
    <t>PROFIL SUKSES ABADI</t>
  </si>
  <si>
    <t>Kab Lamongan</t>
  </si>
  <si>
    <t>Jl. Raya Lamongan, Desa Karangtinggil, Kecamatan Pucuk</t>
  </si>
  <si>
    <t>-7.093809742486803, 112.29774943332994</t>
  </si>
  <si>
    <t>246M</t>
  </si>
  <si>
    <t>LAMONGAN GAS LESTARI</t>
  </si>
  <si>
    <t>Jl. Raya Lamongan - Babat Km 67 Ds. Gembong Kec. Babat</t>
  </si>
  <si>
    <t>-7.101840, 112.216571</t>
  </si>
  <si>
    <t>SRI MUKTI RAYA</t>
  </si>
  <si>
    <t>Ds. Rejosari Kec. Deket</t>
  </si>
  <si>
    <t>-7.120711, 112.460618</t>
  </si>
  <si>
    <t>CATUR MITRA LAMONGAN PRIMA GAS</t>
  </si>
  <si>
    <t>Jl. Urip Sumoharjo 123 Ds. Sukodadi Kec. Sukodadi</t>
  </si>
  <si>
    <t>-7.088674, 112.333941</t>
  </si>
  <si>
    <t>245H</t>
  </si>
  <si>
    <t>ANAK GRESIK TRANSPORT KENCANA</t>
  </si>
  <si>
    <t>Jl. Ry. Mantub Km.15 Ds. Lopang, Kec.Kembangbahu</t>
  </si>
  <si>
    <t>-7.194263, 112.384222</t>
  </si>
  <si>
    <t>246X</t>
  </si>
  <si>
    <t>PERMATA ENERGI BUMI INDONESIA</t>
  </si>
  <si>
    <t>Kab Lumajang</t>
  </si>
  <si>
    <t>Jl. Raya Lumajang-Malang KM9,5 Ds.Madurejo 024/008 Kec.Pasirian</t>
  </si>
  <si>
    <t>-8.222971, 113.153391</t>
  </si>
  <si>
    <t>248B</t>
  </si>
  <si>
    <t>SINAR AGUNG PUTRA ABADI</t>
  </si>
  <si>
    <t>Jalan Lintas Timur No.99 Kelurahan Jogoyudan Kec. Lumajang</t>
  </si>
  <si>
    <t>-8.140534, 113.242978</t>
  </si>
  <si>
    <t>248J</t>
  </si>
  <si>
    <t>SENTOSA GASINDO RAYA</t>
  </si>
  <si>
    <t>Jl. Raya lintas timur desa selokgondang kec. Sukodono</t>
  </si>
  <si>
    <t>-8.105501, 113.255432</t>
  </si>
  <si>
    <t>MADIUNI ELPIJI</t>
  </si>
  <si>
    <t>Kab Madiun</t>
  </si>
  <si>
    <t>Jl. Madiun – Surabaya Km. 25 Saradan, Kab. Madiun</t>
  </si>
  <si>
    <t>-7.552597, 111.697053</t>
  </si>
  <si>
    <t>246G</t>
  </si>
  <si>
    <t>TRISINDO ADIKAMULIA</t>
  </si>
  <si>
    <t>Kab Magetan</t>
  </si>
  <si>
    <t>Jl. Raya Masopati - Ds. Grabahan, Kec. Karangrejo</t>
  </si>
  <si>
    <t>-7.556448, 111.426822</t>
  </si>
  <si>
    <t>SEKAWAN GAS NUSA</t>
  </si>
  <si>
    <t>Jl. Raya Magetan - Gorang Gareng Ds. Ngadirejo Kec. Kawedanan</t>
  </si>
  <si>
    <t>-7.672366, 111.399331</t>
  </si>
  <si>
    <t>BERKAH AMANAH GAS</t>
  </si>
  <si>
    <t>Manisan, Tinap, Kec. Sukomoro, Kabupaten Magetan, Jawa Timur</t>
  </si>
  <si>
    <t>-7.615037, 111.404411</t>
  </si>
  <si>
    <t>SOLUSINDO INNOVATIVE</t>
  </si>
  <si>
    <t>Kab Malang</t>
  </si>
  <si>
    <t>Jl. Raya Kebon Agung No. 131 Karangsono, Kab. Malang</t>
  </si>
  <si>
    <t>-8.039285, 112.610834</t>
  </si>
  <si>
    <t>GEHA INTICITRA</t>
  </si>
  <si>
    <t>Retester Workshop, Jl. Kepuhararjo No. 47 Rt 13 / Rw 05, Desa Kepuharjo Kecamatan Karangploso, Wringin Anom, Kepuharjo, Kec. Karang Ploso, Kabupaten Malang, Jawa Timur 65152</t>
  </si>
  <si>
    <t>-7.910847799272267, 112.62114967993514</t>
  </si>
  <si>
    <t>245G</t>
  </si>
  <si>
    <t>TRIEN GASMIKU</t>
  </si>
  <si>
    <t>Desa Ardimulyo, Kecamatan Singosari, Kab. Malang</t>
  </si>
  <si>
    <t>-7.876111, 112.688056</t>
  </si>
  <si>
    <t>245Z</t>
  </si>
  <si>
    <t>ANUGRAH SURYA MANDALA</t>
  </si>
  <si>
    <t>AGAM SEULAWAH JAYA</t>
  </si>
  <si>
    <t>Ds. Pringu Kec. Bululawang, Kab. Malang</t>
  </si>
  <si>
    <t>-8.0986306, 112.6722259</t>
  </si>
  <si>
    <t>249D</t>
  </si>
  <si>
    <t>BERINGIN GAS LESTARI</t>
  </si>
  <si>
    <t>Jl. Lingkar barat, Kec. Kepanjen, Kab. Malang – Jawa Timur</t>
  </si>
  <si>
    <t>-8.115252880527068, 112.55809758943755</t>
  </si>
  <si>
    <t>245T</t>
  </si>
  <si>
    <t>RIAU MAS NUSANTARA</t>
  </si>
  <si>
    <t>Jl. Trunojoyo - Kali Buntung Gondanglegi, Kab. Malang</t>
  </si>
  <si>
    <t>-8.173969, 112.624678</t>
  </si>
  <si>
    <t>248M</t>
  </si>
  <si>
    <t>MULTI ARTHA ADI PERKASA</t>
  </si>
  <si>
    <t>Desa Dengkol, Kec. Singosari, Malang</t>
  </si>
  <si>
    <t>-7.906068, 112.704817</t>
  </si>
  <si>
    <t>249E</t>
  </si>
  <si>
    <t>BINA ABADI PRATAMA</t>
  </si>
  <si>
    <t>Jalan Raya Dengkol RT.001 RW.008, Dengkol, Kecamatan Singosari, Kabupaten Malang, Provinsi Jawa Timur</t>
  </si>
  <si>
    <t>-7.90588, 112.71729</t>
  </si>
  <si>
    <t>C249J</t>
  </si>
  <si>
    <t>249J</t>
  </si>
  <si>
    <t>SENOPATI DANADIPA PERKASA</t>
  </si>
  <si>
    <t>245C</t>
  </si>
  <si>
    <t>TATA BERSAMA</t>
  </si>
  <si>
    <t>Kab Mojokerto</t>
  </si>
  <si>
    <t>Jl. Mojosari Trawas Km. 4 Pungging Mojokerto</t>
  </si>
  <si>
    <t>-7.557721, 112.557629</t>
  </si>
  <si>
    <t>PATERMAN PETRONIAGA</t>
  </si>
  <si>
    <t>Jl. Raya Domas RT 06 RW 04 Domas Trowulan Mojokerto</t>
  </si>
  <si>
    <t>-7.543183, 112.409165</t>
  </si>
  <si>
    <t>246O</t>
  </si>
  <si>
    <t>TRIMEGAH FARGASINDO</t>
  </si>
  <si>
    <t>Jl. Raya By Pass Jampirogo Km. 55 Mojokerto</t>
  </si>
  <si>
    <t>-7.513285, 112.423458</t>
  </si>
  <si>
    <t>249A</t>
  </si>
  <si>
    <t>AMANATUL UMMAH GAS</t>
  </si>
  <si>
    <t>Dsn. Tanjungsari RT 001 RW 002 Kel. Tanjungkenongo Kec. Pacet Kab. Mojokerto</t>
  </si>
  <si>
    <t>-7.616327244126836, 112.53687915865535</t>
  </si>
  <si>
    <t>245I</t>
  </si>
  <si>
    <t>TRIPUTRA MAKMURTAMA GASINDO</t>
  </si>
  <si>
    <t>Jl. Mojokerto - Kejapanan, Sedati - Ngoro Mojokerto</t>
  </si>
  <si>
    <t>-7.544951, 112.621281</t>
  </si>
  <si>
    <t>247Q</t>
  </si>
  <si>
    <t>KARYA USAHA LESTARI</t>
  </si>
  <si>
    <t>Kab Nganjuk</t>
  </si>
  <si>
    <t>Jl. Raya Nganjuk - Kediri Km. 7 Desa Batembat Kec. Pace</t>
  </si>
  <si>
    <t>-7.670428, 111.913203</t>
  </si>
  <si>
    <t>247R</t>
  </si>
  <si>
    <t>LAMONGAN JOYO</t>
  </si>
  <si>
    <t>Plimping, Gebangkerep, Kec. Baron, Kabupaten Nganjuk, Jawa Timur</t>
  </si>
  <si>
    <t>-7.606632, 112.069667</t>
  </si>
  <si>
    <t>247T</t>
  </si>
  <si>
    <t>DHARMA TECH INFOMEDIA</t>
  </si>
  <si>
    <t>Jl.Raya Jurusan Nganjuk - Surabaya, Sambirejo 7/4,Tanjunganom</t>
  </si>
  <si>
    <t>-7.605224, 111.995285</t>
  </si>
  <si>
    <t>LAJU</t>
  </si>
  <si>
    <t>Desa Kwagean Kec. Loceret</t>
  </si>
  <si>
    <t>-7.630655558798819, 111.90548419826348</t>
  </si>
  <si>
    <t>ANTAWIRYO ADHI GUNA</t>
  </si>
  <si>
    <t>Kab Ngawi</t>
  </si>
  <si>
    <t>JL.Raya Ngawi-Caruban Km.04</t>
  </si>
  <si>
    <t>-7.410516, 111.475425</t>
  </si>
  <si>
    <t>246I</t>
  </si>
  <si>
    <t>NUR WISTARA ABADI</t>
  </si>
  <si>
    <t>246U</t>
  </si>
  <si>
    <t>SUMINAR MITRAGAS SELARAS</t>
  </si>
  <si>
    <t>Jalan Raya Ngawi - Solo Watualang, Watualang, Kecamatan Ngawi, Krajan Selatan, Watualang, Kec. Ngawi, Kabupaten Ngawi, Jawa Timur</t>
  </si>
  <si>
    <t>-7.402525, 111.399553</t>
  </si>
  <si>
    <t>247A</t>
  </si>
  <si>
    <t>KARYA USAHA MANDIRI LESTARI</t>
  </si>
  <si>
    <t>Jl. Raya Geneng Km.07 Ds. Geneng, Kec.Geneng</t>
  </si>
  <si>
    <t>-7.471738, 111.429759</t>
  </si>
  <si>
    <t>247F</t>
  </si>
  <si>
    <t>DWIPARAMA HASTA MUKTI</t>
  </si>
  <si>
    <t>Kab Pacitan</t>
  </si>
  <si>
    <t>Jl. Raya Pacitan Solo KM.7 Ds.Ndadapan Kec. Pringkuku</t>
  </si>
  <si>
    <t>-8.234428, 111.072419</t>
  </si>
  <si>
    <t>247C</t>
  </si>
  <si>
    <t>SINAR MADURA PERKASA</t>
  </si>
  <si>
    <t>Kab Pamekasan</t>
  </si>
  <si>
    <t>Jl. Raya Sampang - Pamekasan Km. 20 Ds. Ambat Kec. Tlanakan</t>
  </si>
  <si>
    <t>-7.219058, 113.425414</t>
  </si>
  <si>
    <t>GAS MADURA PRATAMA</t>
  </si>
  <si>
    <t>SURYA MITRA IMPREZA PRATAMA</t>
  </si>
  <si>
    <t>Kab Pasuruan</t>
  </si>
  <si>
    <t>Jl. Ry Pasuruan-Probolinggo Ds. Rejoso Lor Kec. Rejoso</t>
  </si>
  <si>
    <t>-7.678156, 112.94688</t>
  </si>
  <si>
    <t>245L</t>
  </si>
  <si>
    <t>RACHMASARI BRASS INDONESIA</t>
  </si>
  <si>
    <t>Jl. Gunung Gangsir Ds Randu Pitu Kecamatan Gempol, Kab. Pasuruan</t>
  </si>
  <si>
    <t>-7.615228, 112.711023</t>
  </si>
  <si>
    <t>246T</t>
  </si>
  <si>
    <t>BUANATAMA CAHAYA LESTARI</t>
  </si>
  <si>
    <t>BINA ANUGERAH INTI KIMIA</t>
  </si>
  <si>
    <t>Rembang Industri I No. 23 - 25 PIER, Kab. Pasuruan</t>
  </si>
  <si>
    <t>-7.62315, 112.815469</t>
  </si>
  <si>
    <t>ANUGERAH SUMBER BERKAT</t>
  </si>
  <si>
    <t>Jl. Raya Pasuruan-Purwosari Km.20 Ds.Cobansari, Kab. Pasuruan</t>
  </si>
  <si>
    <t>-7.739180, 112.778206</t>
  </si>
  <si>
    <t>247O</t>
  </si>
  <si>
    <t>ANUGERAH JATI UTAMA</t>
  </si>
  <si>
    <t>Jl. Wicaksono - Gunung Gangsir, Kecamatan Beji, Kab. Pasuruan</t>
  </si>
  <si>
    <t>-7.580972, 112.707181</t>
  </si>
  <si>
    <t>247U</t>
  </si>
  <si>
    <t>GELORA MERATUS MANDIRI</t>
  </si>
  <si>
    <t>Jl. Raya Raci KM. 10, Ds. Raci, Kec. Bangil, Kab. Pasuruan</t>
  </si>
  <si>
    <t>-7.604799, 112.821906</t>
  </si>
  <si>
    <t>245J</t>
  </si>
  <si>
    <t>BUANAKARYA SURYAPRATAMA</t>
  </si>
  <si>
    <t>Kab Ponorogo</t>
  </si>
  <si>
    <t>Jl. DI.I Panjaitan Kel. Purbosuman Kec. Ponorogo Kab. Ponorogo</t>
  </si>
  <si>
    <t>-7.879399, 111.485767</t>
  </si>
  <si>
    <t>GAS ALAM BUMI REOG</t>
  </si>
  <si>
    <t>Jl. Cempaka RT. 01 RW. 07 Ds. Cekok Kel. Babadan</t>
  </si>
  <si>
    <t>-7.834736, 111.483480</t>
  </si>
  <si>
    <t>245O</t>
  </si>
  <si>
    <t>MAHKOTA MIGAS PERKASA</t>
  </si>
  <si>
    <t>Kab Probolinggo</t>
  </si>
  <si>
    <t>Raya Leces Km. 09 Ds. Clarak Probolinggo, Kab. Probolinggo</t>
  </si>
  <si>
    <t>-7.8226191, 113.2272206</t>
  </si>
  <si>
    <t>HAKAMINDO PETRO CHEM</t>
  </si>
  <si>
    <t>Jl. Raya Probolinggo-Kraksan KM 12 Gending, Kab. Probolinggo</t>
  </si>
  <si>
    <t>-7.793238, 113.327782</t>
  </si>
  <si>
    <t>SUMBER GAS INTI UTAMA</t>
  </si>
  <si>
    <t>Desa Banyeman Kec. Tongas Probolinggo, Kab. Probolinggo</t>
  </si>
  <si>
    <t>-7.739237, 113.126384</t>
  </si>
  <si>
    <t>ASAPERKASA ABIMULYA</t>
  </si>
  <si>
    <t>Kab Sampang</t>
  </si>
  <si>
    <t>Desa Sejati Kec. Camplong, Sampang - Madura</t>
  </si>
  <si>
    <t>-7.215497, 113.354633</t>
  </si>
  <si>
    <t>RACHMAD BAROKAH BERSAMA</t>
  </si>
  <si>
    <t>Babatah, Penyapen, Kec. Jrengik, Kabupaten Sampang, Jawa Timur</t>
  </si>
  <si>
    <t>-7.134338, 113.161837</t>
  </si>
  <si>
    <t>SUMAN GAUNG PERSADA</t>
  </si>
  <si>
    <t>Kab Sidoarjo</t>
  </si>
  <si>
    <t>Jl. Brebek Industri V/5</t>
  </si>
  <si>
    <t>-7.344344, 112.758834</t>
  </si>
  <si>
    <t>INDOTAMA ARYANUSA</t>
  </si>
  <si>
    <t>Jl. Raya By Pass Ds. Sidomulyo, Krian</t>
  </si>
  <si>
    <t>-7.399250, 112.575398</t>
  </si>
  <si>
    <t>245P</t>
  </si>
  <si>
    <t>BINA MAKMUR SENTOSA LESTARI</t>
  </si>
  <si>
    <t>Jl. Lingkar Timur KM. 3.5 Desa Kemiri Kecamatan Sidoarjo</t>
  </si>
  <si>
    <t>-7.444172338972288, 112.73532700860581</t>
  </si>
  <si>
    <t>245Q</t>
  </si>
  <si>
    <t>KARYA JAYA LESTARI</t>
  </si>
  <si>
    <t>245R</t>
  </si>
  <si>
    <t>TRIAS MULTI NASIONAL</t>
  </si>
  <si>
    <t>Jl. Raya Suko RT.001 RW.001 Cemengkalang, Sidoarjo</t>
  </si>
  <si>
    <t>-7.444658, 112.683698</t>
  </si>
  <si>
    <t>245V</t>
  </si>
  <si>
    <t>ANTARES JAYA SAKTI</t>
  </si>
  <si>
    <t>Ds. Kebaron RT. 04 RW. 01 Kecamatan Tulangan</t>
  </si>
  <si>
    <t>-7.490692, 112.625376</t>
  </si>
  <si>
    <t>245Y</t>
  </si>
  <si>
    <t>BONGKARAN ENERGI</t>
  </si>
  <si>
    <t>246D</t>
  </si>
  <si>
    <t>WIN MED INDONESIA</t>
  </si>
  <si>
    <t>Jl. Raya Prambon Krian Km 0.5 Ds. Kajartengguli</t>
  </si>
  <si>
    <t>-7.470842, 112.563256</t>
  </si>
  <si>
    <t>246P</t>
  </si>
  <si>
    <t>NAWA PELITA RAYA</t>
  </si>
  <si>
    <t>Jl. Raya Kletek No. 9  Sepanjang, Sidoarjo</t>
  </si>
  <si>
    <t>-7.359936, 112.684075</t>
  </si>
  <si>
    <t>248R</t>
  </si>
  <si>
    <t>INDOTAMA NUSA SEJAHTERA</t>
  </si>
  <si>
    <t>MANUNGGAL SEJATI</t>
  </si>
  <si>
    <t>Jl. Raya Bypass Krian KM. 33 Ds. Balongbendo Kec. Balongbendo</t>
  </si>
  <si>
    <t>-7.408351, 112.548823</t>
  </si>
  <si>
    <t>249L</t>
  </si>
  <si>
    <t>KARYA MEGA GAS MANDIRI</t>
  </si>
  <si>
    <t>Pamotan, Kec. Porong, Kabupaten Sidoarjo, Jawa Timur</t>
  </si>
  <si>
    <t>-7.52564370591966, 112.69273662039366</t>
  </si>
  <si>
    <t>MERAK PERMATA GASINDO</t>
  </si>
  <si>
    <t>-7.526833, 112.692683</t>
  </si>
  <si>
    <t>248G</t>
  </si>
  <si>
    <t>KARUNIA MIGAS UTAMA</t>
  </si>
  <si>
    <t>Kab Situbondo</t>
  </si>
  <si>
    <t>Pagar Carang, Suboh, Kec. Suboh, Kabupaten Situbondo, Jawa Timur</t>
  </si>
  <si>
    <t>-7.734208, 113.735740</t>
  </si>
  <si>
    <t>AMILIA JAYA SENTOSA</t>
  </si>
  <si>
    <t>Jl. Diponegoro 33</t>
  </si>
  <si>
    <t>-7.692624, 114.053223</t>
  </si>
  <si>
    <t>245B</t>
  </si>
  <si>
    <t>MITRA MADURA DHARMA ABADI</t>
  </si>
  <si>
    <t>Kab Sumenep</t>
  </si>
  <si>
    <t>Jl. Raya Sumenep Km. 12 Ds. Saronggi Laok, Kec. Saronggi</t>
  </si>
  <si>
    <t>-7.096618, 113.818122</t>
  </si>
  <si>
    <t>248T</t>
  </si>
  <si>
    <t>PERAK POLANA ALOMAMPA</t>
  </si>
  <si>
    <t>Jl. Raya Bluto no. 100</t>
  </si>
  <si>
    <t>-7.119203, 113.776259</t>
  </si>
  <si>
    <t>246Y</t>
  </si>
  <si>
    <t>DIAN EL HADA</t>
  </si>
  <si>
    <t>Kab Trenggalek</t>
  </si>
  <si>
    <t>Desa Kedunglurah Kec Pogalan</t>
  </si>
  <si>
    <t>-8.109422, 111.768678</t>
  </si>
  <si>
    <t>247V</t>
  </si>
  <si>
    <t>BINTANG CIPTA PERSADA</t>
  </si>
  <si>
    <t>Desa Karangsoko Kecamatan Trenggalek</t>
  </si>
  <si>
    <t>-8.084844, 111.710347</t>
  </si>
  <si>
    <t>245U</t>
  </si>
  <si>
    <t>PURBAYA BAGELEN MANDIRI</t>
  </si>
  <si>
    <t>Kab Tuban</t>
  </si>
  <si>
    <t>Jl. Raya Babat-Tuban Ds. Minohorejo Kec. Widang Kab. Tuban</t>
  </si>
  <si>
    <t>-7.006104, 112.134770</t>
  </si>
  <si>
    <t>246B</t>
  </si>
  <si>
    <t>SEMBILAN SEMBILAN TUBAN PERDANA</t>
  </si>
  <si>
    <t>Jl. KH. Agus Salim No. 17 A Kelurahan Ronggomulyo Kab.Tuban</t>
  </si>
  <si>
    <t>-7.004931, 112.133253</t>
  </si>
  <si>
    <t>248V</t>
  </si>
  <si>
    <t>NAUMI AROEMAH ZOE</t>
  </si>
  <si>
    <t>Jl. Raya Bulu - Jatirogo Km 3, Ds. Tengger Kulon</t>
  </si>
  <si>
    <t>-6.787880, 111.704765</t>
  </si>
  <si>
    <t>249I</t>
  </si>
  <si>
    <t>DIAN CAHAYA NITAMI</t>
  </si>
  <si>
    <t>Jl. Raya Tuban Dsn. Krajan, Kel. Gesing, Kec. Semanding, Kab. Tuban - Jawa Timur</t>
  </si>
  <si>
    <t>-6.971338408565502, 112.10299836275546</t>
  </si>
  <si>
    <t>245X</t>
  </si>
  <si>
    <t>GANGSAR SENTOSA PETROLIUM</t>
  </si>
  <si>
    <t>Kab Tulungagung</t>
  </si>
  <si>
    <t>Jl. Demuk 37 Ngunut Tulungagung</t>
  </si>
  <si>
    <t>-8.109542, 112.015156</t>
  </si>
  <si>
    <t>HELA CITRA AGUNG</t>
  </si>
  <si>
    <t>Jl. Jabalan Ds.Jabalsari Kec. Sumber Gempol</t>
  </si>
  <si>
    <t>-8.084375, 111.960667</t>
  </si>
  <si>
    <t>SINAR WAHANA SURYA</t>
  </si>
  <si>
    <t>Jalan Raya Ngantru Desa Kepuhrejo Kecamatan Ngantru</t>
  </si>
  <si>
    <t>-7.994983, 111.935994</t>
  </si>
  <si>
    <t>248Y</t>
  </si>
  <si>
    <t>MUTUAL MAXEL</t>
  </si>
  <si>
    <t>PADI USAHA BERSAMA GAS</t>
  </si>
  <si>
    <t>Jl. Metropol Megah, Area Sawah, Kepatihan, Kec. Kedungwaru, Kabupaten Tulungagung, Jawa Timur 66219</t>
  </si>
  <si>
    <t>-8.07299893651849, 111.94844536284374</t>
  </si>
  <si>
    <t>PUNCAK TIRTA RAYA</t>
  </si>
  <si>
    <t>Kota Batu</t>
  </si>
  <si>
    <t>Tlekung, Kec. Junrejo, Kota Batu, Jawa Timur</t>
  </si>
  <si>
    <t>-7.914847, 112.542115</t>
  </si>
  <si>
    <t>RAMA MANGGALA GAS</t>
  </si>
  <si>
    <t>Kota Blitar</t>
  </si>
  <si>
    <t>Jl. Ciliwung No. 22</t>
  </si>
  <si>
    <t>-8.096736, 112.181767</t>
  </si>
  <si>
    <t>247S</t>
  </si>
  <si>
    <t>LIRBOYO INSAN GLOBAL</t>
  </si>
  <si>
    <t>Kota Kediri</t>
  </si>
  <si>
    <t>Jl. Jegles Gg. I, Kelurahan Blabak Kecamatan Pesantren</t>
  </si>
  <si>
    <t>-7.861833, 112.032598</t>
  </si>
  <si>
    <t>248H</t>
  </si>
  <si>
    <t>SURYA ADHILESTARI</t>
  </si>
  <si>
    <t>Jl. Durian Kel. Ketami Kec. Pesantren</t>
  </si>
  <si>
    <t>-7.837187, 112.057940</t>
  </si>
  <si>
    <t>PATRA TRADING MADIUN</t>
  </si>
  <si>
    <t>Kota Madiun</t>
  </si>
  <si>
    <t>Jl. Yos Sudarso 63, Kota Madiun</t>
  </si>
  <si>
    <t>-7.613171, 111.527942</t>
  </si>
  <si>
    <t>PATRA TRADING MALANG</t>
  </si>
  <si>
    <t>Kota Malang</t>
  </si>
  <si>
    <t>Jl. Halmahera 13, Kota Malang</t>
  </si>
  <si>
    <t>-7.994932, 112.627874</t>
  </si>
  <si>
    <t>ZATALINI CIPTA PERSADA</t>
  </si>
  <si>
    <t>Jl.Mayjend Sungkono 01/06 Kel.Arjowinagun-Kedung Kandang</t>
  </si>
  <si>
    <t>-8.0484618, 112.6416889</t>
  </si>
  <si>
    <t>BHUMI PERMATA INDAH</t>
  </si>
  <si>
    <t>Kota Probolinggo</t>
  </si>
  <si>
    <t>Jl. Brantas Probolinggo, Kelurahan Pilang, Kec. Kademangan</t>
  </si>
  <si>
    <t>-7.7589737558548615, 113.19254063178077</t>
  </si>
  <si>
    <t>ANDHIKA DIAN UTAMA</t>
  </si>
  <si>
    <t>Kota Surabaya</t>
  </si>
  <si>
    <t>Jl. Margomulyo No. 44 Kav. FF/01</t>
  </si>
  <si>
    <t>-7.242458, 112.694238</t>
  </si>
  <si>
    <t>BHAKTI NUSA PERDANA</t>
  </si>
  <si>
    <t>Jl. Romokalisari Industri Raya 22, Bumi Maspion</t>
  </si>
  <si>
    <t>-7.199479, 112.639495</t>
  </si>
  <si>
    <t>246H</t>
  </si>
  <si>
    <t>ANDHIKA PUTRA TRIGAS LENTERA</t>
  </si>
  <si>
    <t>246K</t>
  </si>
  <si>
    <t>MULTI BERKAH AMANAH</t>
  </si>
  <si>
    <t>Jl. Kalianak 66 Kel. Kalianak, Kec. Asemrowo</t>
  </si>
  <si>
    <t>-7.223962, 112.704172</t>
  </si>
  <si>
    <t>GUBAH TIARA PERKASA</t>
  </si>
  <si>
    <t>Jl. Margomulyo No. 33</t>
  </si>
  <si>
    <t>-7.244113, 112.680575</t>
  </si>
  <si>
    <t>248C</t>
  </si>
  <si>
    <t>GOENADI GASINDO PRATAMA</t>
  </si>
  <si>
    <t>Jl. Sukomanunggal No. 08</t>
  </si>
  <si>
    <t>-7.263894, 112.700346</t>
  </si>
  <si>
    <t>249F</t>
  </si>
  <si>
    <t>UNIVERSAL ENERGY PRATAMA</t>
  </si>
  <si>
    <t>PATRA TRADING TANJUNG PERAK</t>
  </si>
  <si>
    <t>Jl. Nilam Barat no. 35 Surabaya</t>
  </si>
  <si>
    <t>-7.204770, 112.719843</t>
  </si>
  <si>
    <t>249H</t>
  </si>
  <si>
    <t>C249C</t>
  </si>
  <si>
    <t>249C</t>
  </si>
  <si>
    <t>ELNUSA PETROFIN (BIMA)</t>
  </si>
  <si>
    <t>Kab Bima</t>
  </si>
  <si>
    <t>Nusa Tenggara Barat</t>
  </si>
  <si>
    <t>Jl. Sultan Muhammad Salahudin RT 016 RW 006 Kel. Dara Kec. Rasanae Barat Kota Bima</t>
  </si>
  <si>
    <t>-8.4906244, 118.713188</t>
  </si>
  <si>
    <t>C246V</t>
  </si>
  <si>
    <t>246V</t>
  </si>
  <si>
    <t>OM AGUS</t>
  </si>
  <si>
    <t>Kab Lombok Barat</t>
  </si>
  <si>
    <t>Jl Raya Yos Sudarso Lembar  Ds Lembar Selatan Kec Lembar</t>
  </si>
  <si>
    <t>-8.720280, 116.074462</t>
  </si>
  <si>
    <t>C248N</t>
  </si>
  <si>
    <t>248N</t>
  </si>
  <si>
    <t>LOMBOK MENARA ENERGY GAS</t>
  </si>
  <si>
    <t>Jl. Raya ByPass BIL KM.2 Kec. Kuripan Kab. Lombok Barat</t>
  </si>
  <si>
    <t>-8.6649050, 116.1534130</t>
  </si>
  <si>
    <t>C249K</t>
  </si>
  <si>
    <t>249K</t>
  </si>
  <si>
    <t>HARAPAN JAYA UTAMA</t>
  </si>
  <si>
    <t>Keru, Kec. Narmada, Kabupaten Lombok Barat, Nusa Tenggara Bar.</t>
  </si>
  <si>
    <t>-8.591850787259672, 116.24676525872624</t>
  </si>
  <si>
    <t>C247G</t>
  </si>
  <si>
    <t>247G</t>
  </si>
  <si>
    <t>LOMBOK PUTRA GAS</t>
  </si>
  <si>
    <t>Kab Lombok Tengah</t>
  </si>
  <si>
    <t>Jl. Sukarno Hatta No. 19 Praya</t>
  </si>
  <si>
    <t>-8.593136, 116.294571</t>
  </si>
  <si>
    <t>C248W</t>
  </si>
  <si>
    <t>248W</t>
  </si>
  <si>
    <t>PERMATA INDAH DEWATA</t>
  </si>
  <si>
    <t>Jl. By Pass BIL Sukarara jonggat Kab. Lombok Tengah – NTB</t>
  </si>
  <si>
    <t>-8.697803210096, 116.20085655220679</t>
  </si>
  <si>
    <t>C247M</t>
  </si>
  <si>
    <t>247M</t>
  </si>
  <si>
    <t>BINTANG ENERGI ABADI</t>
  </si>
  <si>
    <t>Kab Lombok Timur</t>
  </si>
  <si>
    <t>Jl. Raya Sikur KM 40, Lombok Timur</t>
  </si>
  <si>
    <t>-8.633720, 116.437952</t>
  </si>
  <si>
    <t>C248Z</t>
  </si>
  <si>
    <t>248Z</t>
  </si>
  <si>
    <t>ANUGERAH NARWASTU RAYA</t>
  </si>
  <si>
    <t>Pringgabaya Utara, Pringgabaya, Kabupaten Lombok Timur, Nusa Tenggara Bar. 83654, Indonesia</t>
  </si>
  <si>
    <t>-8.531752394286071, 116.63818734876948</t>
  </si>
  <si>
    <t>C248K</t>
  </si>
  <si>
    <t>248K</t>
  </si>
  <si>
    <t>DINAMIKA UTAMA KARYA</t>
  </si>
  <si>
    <t>Kab Lombok Utara</t>
  </si>
  <si>
    <t>Dusun Lengkukun Desa Kayangan Kecamatan Kayangan kabupaten Lombok Utara</t>
  </si>
  <si>
    <t>-8.249667, 116.268389</t>
  </si>
  <si>
    <t>C249B</t>
  </si>
  <si>
    <t>249B</t>
  </si>
  <si>
    <t>PATRA TRADING SUMBAWA</t>
  </si>
  <si>
    <t>Kab Sumbawa</t>
  </si>
  <si>
    <t>Ds. Pemasar, Kec. Maronge, Kab. Sumbawa - NTB</t>
  </si>
  <si>
    <t>-8.64001176859263, 117.66128348358674</t>
  </si>
  <si>
    <t>C249N</t>
  </si>
  <si>
    <t>249N</t>
  </si>
  <si>
    <t>SUMBAWA DUTA ENERGI</t>
  </si>
  <si>
    <t>Jorok, Kec. Unter Iwes, Kabupaten Sumbawa, Nusa Tenggara Bar.</t>
  </si>
  <si>
    <t>-8.526618, 117.419677</t>
  </si>
  <si>
    <t>C2460</t>
  </si>
  <si>
    <t>DELTA ADIGUNA</t>
  </si>
  <si>
    <t>Kota Mataram</t>
  </si>
  <si>
    <t>Jl Dr Soejono No. 10 Kel. Dasan Cemen Kecamatan Cakranegara</t>
  </si>
  <si>
    <t>-8.6143611, 116.1249444</t>
  </si>
  <si>
    <t>C246A</t>
  </si>
  <si>
    <t>246A</t>
  </si>
  <si>
    <t>SURYA ADIGUNA INDOGAS</t>
  </si>
  <si>
    <t>Jl Dr Soejono Lingkungan Dasan Cemen Barat Kec. Cakranegara</t>
  </si>
  <si>
    <t>-8.620774, 116.086927</t>
  </si>
  <si>
    <t>NUSA MINA GAS</t>
  </si>
  <si>
    <t>Kab Kupang</t>
  </si>
  <si>
    <t>Nusa Tenggara Timur</t>
  </si>
  <si>
    <t>Bolok, Kec. Kupang Bar., Kabupaten Kupang, Nusa Tenggara Tim.</t>
  </si>
  <si>
    <t>-10.2437105178833,123.53366088867188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</si>
</sst>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_(* #,###.0_);_(* \(#,###.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899990844447157"/>
        <bgColor theme="4" tint="0.799981688894314"/>
      </patternFill>
    </fill>
    <fill>
      <patternFill patternType="solid">
        <fgColor theme="5" tint="0.799981688894314"/>
        <bgColor theme="4" tint="0.79998168889431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13" fillId="13" borderId="12" applyNumberFormat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15" fillId="14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0" fillId="0" borderId="0"/>
    <xf numFmtId="41" fontId="0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3" borderId="4" xfId="49" applyFont="1" applyFill="1" applyBorder="1" applyAlignment="1">
      <alignment horizontal="center" vertical="center" wrapText="1"/>
    </xf>
    <xf numFmtId="0" fontId="0" fillId="0" borderId="4" xfId="49" applyBorder="1" applyAlignment="1">
      <alignment horizontal="center" vertical="center"/>
    </xf>
    <xf numFmtId="0" fontId="0" fillId="0" borderId="4" xfId="49" applyBorder="1" applyAlignment="1">
      <alignment horizontal="left" vertical="center"/>
    </xf>
    <xf numFmtId="0" fontId="0" fillId="0" borderId="4" xfId="49" applyBorder="1"/>
    <xf numFmtId="0" fontId="0" fillId="4" borderId="4" xfId="49" applyFill="1" applyBorder="1" applyAlignment="1">
      <alignment horizontal="center" vertical="center"/>
    </xf>
    <xf numFmtId="0" fontId="0" fillId="0" borderId="4" xfId="49" applyBorder="1" applyAlignment="1">
      <alignment horizontal="center"/>
    </xf>
    <xf numFmtId="0" fontId="0" fillId="0" borderId="4" xfId="49" applyBorder="1" applyAlignment="1">
      <alignment horizontal="left"/>
    </xf>
    <xf numFmtId="0" fontId="0" fillId="0" borderId="4" xfId="0" applyFont="1" applyFill="1" applyBorder="1" applyAlignment="1"/>
    <xf numFmtId="0" fontId="0" fillId="5" borderId="4" xfId="0" applyFont="1" applyFill="1" applyBorder="1" applyAlignment="1"/>
    <xf numFmtId="0" fontId="0" fillId="6" borderId="4" xfId="0" applyFont="1" applyFill="1" applyBorder="1" applyAlignment="1"/>
    <xf numFmtId="0" fontId="0" fillId="7" borderId="4" xfId="0" applyFont="1" applyFill="1" applyBorder="1" applyAlignment="1"/>
    <xf numFmtId="41" fontId="2" fillId="8" borderId="5" xfId="4" applyNumberFormat="1" applyFont="1" applyFill="1" applyBorder="1" applyAlignment="1">
      <alignment horizontal="center" vertical="center" wrapText="1"/>
    </xf>
    <xf numFmtId="41" fontId="2" fillId="8" borderId="6" xfId="4" applyNumberFormat="1" applyFont="1" applyFill="1" applyBorder="1" applyAlignment="1">
      <alignment horizontal="center" vertical="center" wrapText="1"/>
    </xf>
    <xf numFmtId="41" fontId="2" fillId="8" borderId="7" xfId="4" applyNumberFormat="1" applyFont="1" applyFill="1" applyBorder="1" applyAlignment="1">
      <alignment horizontal="center" vertical="center" wrapText="1"/>
    </xf>
    <xf numFmtId="41" fontId="2" fillId="8" borderId="4" xfId="4" applyNumberFormat="1" applyFont="1" applyFill="1" applyBorder="1" applyAlignment="1">
      <alignment horizontal="center" vertical="center" wrapText="1"/>
    </xf>
    <xf numFmtId="41" fontId="2" fillId="9" borderId="4" xfId="4" applyNumberFormat="1" applyFont="1" applyFill="1" applyBorder="1" applyAlignment="1">
      <alignment horizontal="center" vertical="center" wrapText="1"/>
    </xf>
    <xf numFmtId="0" fontId="2" fillId="8" borderId="4" xfId="4" applyNumberFormat="1" applyFont="1" applyFill="1" applyBorder="1" applyAlignment="1">
      <alignment horizontal="center" vertical="center" wrapText="1"/>
    </xf>
    <xf numFmtId="0" fontId="2" fillId="9" borderId="4" xfId="4" applyNumberFormat="1" applyFont="1" applyFill="1" applyBorder="1" applyAlignment="1">
      <alignment horizontal="center" vertical="center" wrapText="1"/>
    </xf>
    <xf numFmtId="41" fontId="3" fillId="10" borderId="4" xfId="4" applyNumberFormat="1" applyFont="1" applyFill="1" applyBorder="1"/>
    <xf numFmtId="41" fontId="3" fillId="0" borderId="4" xfId="4" applyNumberFormat="1" applyFont="1" applyBorder="1"/>
    <xf numFmtId="180" fontId="0" fillId="0" borderId="0" xfId="1" applyNumberFormat="1">
      <alignment vertical="center"/>
    </xf>
    <xf numFmtId="0" fontId="0" fillId="0" borderId="0" xfId="0" quotePrefix="1">
      <alignment vertical="center"/>
    </xf>
    <xf numFmtId="0" fontId="0" fillId="0" borderId="4" xfId="49" applyBorder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  <cellStyle name="Comma [0] 5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1.%20Kajian%20Operasional%20TLPG%20BDE%20MMP%202026%20Rev%20Proyeksi%20Thruput%20Rev.2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ummary Rev 2"/>
      <sheetName val="Asumsi &amp; Parameter"/>
      <sheetName val="Kilang Domestik"/>
      <sheetName val="KK Supply Cost_2"/>
      <sheetName val="Sheet1"/>
      <sheetName val="Material TLPG Tuban"/>
      <sheetName val="KK Supply Cost"/>
      <sheetName val="KK Terminal Cost"/>
      <sheetName val="Jarak Laut"/>
      <sheetName val="Port Activity"/>
      <sheetName val="Freight Cost Dom"/>
      <sheetName val="KK Distribusi Kalimantan"/>
      <sheetName val="KK Distribusi JBT Jatim"/>
      <sheetName val="KK Distribusi Sulawesi"/>
      <sheetName val="Pivot VL06F"/>
      <sheetName val="Parameter COA"/>
      <sheetName val="Idle Time"/>
      <sheetName val="Thruput 2025"/>
      <sheetName val="Jarak Darat"/>
      <sheetName val="TLPG Plant"/>
      <sheetName val="Pola Suplai Reguler"/>
      <sheetName val="Plant TLPG"/>
      <sheetName val="Data SPBE"/>
      <sheetName val="Jarak Sulawesi"/>
      <sheetName val="Storage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9"/>
  <sheetViews>
    <sheetView zoomScaleSheetLayoutView="60" topLeftCell="A224" workbookViewId="0">
      <selection activeCell="A1" sqref="A1:A259"/>
    </sheetView>
  </sheetViews>
  <sheetFormatPr defaultColWidth="10.2857142857143" defaultRowHeight="15" outlineLevelCol="2"/>
  <cols>
    <col min="2" max="2" width="21.1428571428571" customWidth="1"/>
    <col min="3" max="3" width="20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4</v>
      </c>
      <c r="C10" t="s">
        <v>5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38</v>
      </c>
      <c r="C23" t="s">
        <v>39</v>
      </c>
    </row>
    <row r="24" spans="1:3">
      <c r="A24" t="s">
        <v>65</v>
      </c>
      <c r="B24" t="s">
        <v>44</v>
      </c>
      <c r="C24" t="s">
        <v>45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47</v>
      </c>
      <c r="C29" t="s">
        <v>48</v>
      </c>
    </row>
    <row r="30" spans="1:3">
      <c r="A30" t="s">
        <v>79</v>
      </c>
      <c r="B30" t="s">
        <v>80</v>
      </c>
      <c r="C30" t="s">
        <v>81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85</v>
      </c>
      <c r="B32" t="s">
        <v>86</v>
      </c>
      <c r="C32" t="s">
        <v>87</v>
      </c>
    </row>
    <row r="33" spans="1:3">
      <c r="A33" t="s">
        <v>88</v>
      </c>
      <c r="B33" t="s">
        <v>89</v>
      </c>
      <c r="C33" t="s">
        <v>90</v>
      </c>
    </row>
    <row r="34" spans="1:3">
      <c r="A34" t="s">
        <v>91</v>
      </c>
      <c r="B34" t="s">
        <v>92</v>
      </c>
      <c r="C34" t="s">
        <v>93</v>
      </c>
    </row>
    <row r="35" spans="1:3">
      <c r="A35" t="s">
        <v>94</v>
      </c>
      <c r="B35" t="s">
        <v>95</v>
      </c>
      <c r="C35" t="s">
        <v>96</v>
      </c>
    </row>
    <row r="36" spans="1:3">
      <c r="A36" t="s">
        <v>97</v>
      </c>
      <c r="B36" t="s">
        <v>41</v>
      </c>
      <c r="C36" t="s">
        <v>42</v>
      </c>
    </row>
    <row r="37" spans="1:3">
      <c r="A37" t="s">
        <v>98</v>
      </c>
      <c r="B37" t="s">
        <v>99</v>
      </c>
      <c r="C37" t="s">
        <v>100</v>
      </c>
    </row>
    <row r="38" spans="1:3">
      <c r="A38" t="s">
        <v>101</v>
      </c>
      <c r="B38" t="s">
        <v>102</v>
      </c>
      <c r="C38" t="s">
        <v>103</v>
      </c>
    </row>
    <row r="39" spans="1:3">
      <c r="A39" t="s">
        <v>104</v>
      </c>
      <c r="B39" t="s">
        <v>105</v>
      </c>
      <c r="C39" t="s">
        <v>106</v>
      </c>
    </row>
    <row r="40" spans="1:3">
      <c r="A40" t="s">
        <v>107</v>
      </c>
      <c r="B40" t="s">
        <v>108</v>
      </c>
      <c r="C40" t="s">
        <v>109</v>
      </c>
    </row>
    <row r="41" spans="1:3">
      <c r="A41" t="s">
        <v>110</v>
      </c>
      <c r="B41" t="s">
        <v>111</v>
      </c>
      <c r="C41" t="s">
        <v>112</v>
      </c>
    </row>
    <row r="42" spans="1:3">
      <c r="A42" t="s">
        <v>113</v>
      </c>
      <c r="B42" t="s">
        <v>114</v>
      </c>
      <c r="C42" t="s">
        <v>115</v>
      </c>
    </row>
    <row r="43" spans="1:3">
      <c r="A43" t="s">
        <v>116</v>
      </c>
      <c r="B43" t="s">
        <v>117</v>
      </c>
      <c r="C43" t="s">
        <v>118</v>
      </c>
    </row>
    <row r="44" spans="1:3">
      <c r="A44" t="s">
        <v>119</v>
      </c>
      <c r="B44" t="s">
        <v>120</v>
      </c>
      <c r="C44" t="s">
        <v>121</v>
      </c>
    </row>
    <row r="45" spans="1:3">
      <c r="A45" t="s">
        <v>122</v>
      </c>
      <c r="B45" t="s">
        <v>123</v>
      </c>
      <c r="C45" t="s">
        <v>124</v>
      </c>
    </row>
    <row r="46" spans="1:3">
      <c r="A46" t="s">
        <v>125</v>
      </c>
      <c r="B46" t="s">
        <v>123</v>
      </c>
      <c r="C46" t="s">
        <v>124</v>
      </c>
    </row>
    <row r="47" spans="1:3">
      <c r="A47" t="s">
        <v>126</v>
      </c>
      <c r="B47" t="s">
        <v>127</v>
      </c>
      <c r="C47" t="s">
        <v>128</v>
      </c>
    </row>
    <row r="48" spans="1:3">
      <c r="A48" t="s">
        <v>129</v>
      </c>
      <c r="B48" t="s">
        <v>130</v>
      </c>
      <c r="C48" t="s">
        <v>131</v>
      </c>
    </row>
    <row r="49" spans="1:3">
      <c r="A49" t="s">
        <v>132</v>
      </c>
      <c r="B49" t="s">
        <v>133</v>
      </c>
      <c r="C49" t="s">
        <v>134</v>
      </c>
    </row>
    <row r="50" spans="1:3">
      <c r="A50" t="s">
        <v>135</v>
      </c>
      <c r="B50" t="s">
        <v>136</v>
      </c>
      <c r="C50" t="s">
        <v>137</v>
      </c>
    </row>
    <row r="51" spans="1:3">
      <c r="A51" t="s">
        <v>138</v>
      </c>
      <c r="B51" t="s">
        <v>139</v>
      </c>
      <c r="C51" t="s">
        <v>140</v>
      </c>
    </row>
    <row r="52" spans="1:3">
      <c r="A52" t="s">
        <v>141</v>
      </c>
      <c r="B52" t="s">
        <v>142</v>
      </c>
      <c r="C52" t="s">
        <v>143</v>
      </c>
    </row>
    <row r="53" spans="1:3">
      <c r="A53" t="s">
        <v>144</v>
      </c>
      <c r="B53" t="s">
        <v>145</v>
      </c>
      <c r="C53" t="s">
        <v>146</v>
      </c>
    </row>
    <row r="54" spans="1:3">
      <c r="A54" t="s">
        <v>147</v>
      </c>
      <c r="B54" t="s">
        <v>148</v>
      </c>
      <c r="C54" t="s">
        <v>149</v>
      </c>
    </row>
    <row r="55" spans="1:3">
      <c r="A55" t="s">
        <v>150</v>
      </c>
      <c r="B55" t="s">
        <v>151</v>
      </c>
      <c r="C55" t="s">
        <v>152</v>
      </c>
    </row>
    <row r="56" spans="1:3">
      <c r="A56" t="s">
        <v>153</v>
      </c>
      <c r="B56" t="s">
        <v>154</v>
      </c>
      <c r="C56" t="s">
        <v>155</v>
      </c>
    </row>
    <row r="57" spans="1:3">
      <c r="A57" t="s">
        <v>156</v>
      </c>
      <c r="B57" t="s">
        <v>157</v>
      </c>
      <c r="C57" t="s">
        <v>158</v>
      </c>
    </row>
    <row r="58" spans="1:3">
      <c r="A58" t="s">
        <v>159</v>
      </c>
      <c r="B58" t="s">
        <v>160</v>
      </c>
      <c r="C58" t="s">
        <v>161</v>
      </c>
    </row>
    <row r="59" spans="1:3">
      <c r="A59" t="s">
        <v>162</v>
      </c>
      <c r="B59" t="s">
        <v>163</v>
      </c>
      <c r="C59" t="s">
        <v>164</v>
      </c>
    </row>
    <row r="60" spans="1:3">
      <c r="A60" t="s">
        <v>165</v>
      </c>
      <c r="B60" t="s">
        <v>166</v>
      </c>
      <c r="C60" t="s">
        <v>167</v>
      </c>
    </row>
    <row r="61" spans="1:3">
      <c r="A61" t="s">
        <v>168</v>
      </c>
      <c r="B61" t="s">
        <v>169</v>
      </c>
      <c r="C61" t="s">
        <v>170</v>
      </c>
    </row>
    <row r="62" spans="1:3">
      <c r="A62" t="s">
        <v>171</v>
      </c>
      <c r="B62" t="s">
        <v>172</v>
      </c>
      <c r="C62" t="s">
        <v>173</v>
      </c>
    </row>
    <row r="63" spans="1:3">
      <c r="A63" t="s">
        <v>174</v>
      </c>
      <c r="B63" t="s">
        <v>175</v>
      </c>
      <c r="C63" t="s">
        <v>176</v>
      </c>
    </row>
    <row r="64" spans="1:3">
      <c r="A64" t="s">
        <v>177</v>
      </c>
      <c r="B64" t="s">
        <v>178</v>
      </c>
      <c r="C64" t="s">
        <v>179</v>
      </c>
    </row>
    <row r="65" spans="1:3">
      <c r="A65" t="s">
        <v>180</v>
      </c>
      <c r="B65" t="s">
        <v>181</v>
      </c>
      <c r="C65" t="s">
        <v>182</v>
      </c>
    </row>
    <row r="66" spans="1:3">
      <c r="A66" t="s">
        <v>183</v>
      </c>
      <c r="B66" t="s">
        <v>184</v>
      </c>
      <c r="C66" t="s">
        <v>185</v>
      </c>
    </row>
    <row r="67" spans="1:3">
      <c r="A67" t="s">
        <v>186</v>
      </c>
      <c r="B67" t="s">
        <v>187</v>
      </c>
      <c r="C67" t="s">
        <v>188</v>
      </c>
    </row>
    <row r="68" spans="1:3">
      <c r="A68" t="s">
        <v>189</v>
      </c>
      <c r="B68" t="s">
        <v>190</v>
      </c>
      <c r="C68" t="s">
        <v>191</v>
      </c>
    </row>
    <row r="69" spans="1:3">
      <c r="A69" t="s">
        <v>192</v>
      </c>
      <c r="B69" t="s">
        <v>193</v>
      </c>
      <c r="C69" t="s">
        <v>194</v>
      </c>
    </row>
    <row r="70" spans="1:3">
      <c r="A70" t="s">
        <v>195</v>
      </c>
      <c r="B70" t="s">
        <v>196</v>
      </c>
      <c r="C70" t="s">
        <v>197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184</v>
      </c>
      <c r="C77" t="s">
        <v>185</v>
      </c>
    </row>
    <row r="78" spans="1:3">
      <c r="A78" t="s">
        <v>217</v>
      </c>
      <c r="B78" t="s">
        <v>218</v>
      </c>
      <c r="C78" t="s">
        <v>219</v>
      </c>
    </row>
    <row r="79" spans="1:3">
      <c r="A79" t="s">
        <v>220</v>
      </c>
      <c r="B79" t="s">
        <v>221</v>
      </c>
      <c r="C79" t="s">
        <v>222</v>
      </c>
    </row>
    <row r="80" spans="1:3">
      <c r="A80" t="s">
        <v>223</v>
      </c>
      <c r="B80" t="s">
        <v>224</v>
      </c>
      <c r="C80" t="s">
        <v>225</v>
      </c>
    </row>
    <row r="81" spans="1:3">
      <c r="A81" t="s">
        <v>226</v>
      </c>
      <c r="B81" t="s">
        <v>190</v>
      </c>
      <c r="C81" t="s">
        <v>191</v>
      </c>
    </row>
    <row r="82" spans="1:3">
      <c r="A82" t="s">
        <v>227</v>
      </c>
      <c r="B82" t="s">
        <v>228</v>
      </c>
      <c r="C82" t="s">
        <v>229</v>
      </c>
    </row>
    <row r="83" spans="1:3">
      <c r="A83" t="s">
        <v>230</v>
      </c>
      <c r="B83" t="s">
        <v>187</v>
      </c>
      <c r="C83" t="s">
        <v>188</v>
      </c>
    </row>
    <row r="84" spans="1:3">
      <c r="A84" t="s">
        <v>231</v>
      </c>
      <c r="B84" t="s">
        <v>232</v>
      </c>
      <c r="C84" t="s">
        <v>233</v>
      </c>
    </row>
    <row r="85" spans="1:3">
      <c r="A85" t="s">
        <v>234</v>
      </c>
      <c r="B85" t="s">
        <v>235</v>
      </c>
      <c r="C85" t="s">
        <v>236</v>
      </c>
    </row>
    <row r="86" spans="1:3">
      <c r="A86" t="s">
        <v>237</v>
      </c>
      <c r="B86" t="s">
        <v>238</v>
      </c>
      <c r="C86" t="s">
        <v>239</v>
      </c>
    </row>
    <row r="87" spans="1:3">
      <c r="A87" t="s">
        <v>240</v>
      </c>
      <c r="B87" t="s">
        <v>241</v>
      </c>
      <c r="C87" t="s">
        <v>242</v>
      </c>
    </row>
    <row r="88" spans="1:3">
      <c r="A88" t="s">
        <v>243</v>
      </c>
      <c r="B88" t="s">
        <v>196</v>
      </c>
      <c r="C88" t="s">
        <v>197</v>
      </c>
    </row>
    <row r="89" spans="1:3">
      <c r="A89" t="s">
        <v>244</v>
      </c>
      <c r="B89" t="s">
        <v>245</v>
      </c>
      <c r="C89" t="s">
        <v>246</v>
      </c>
    </row>
    <row r="90" spans="1:3">
      <c r="A90" t="s">
        <v>247</v>
      </c>
      <c r="B90" t="s">
        <v>248</v>
      </c>
      <c r="C90" t="s">
        <v>249</v>
      </c>
    </row>
    <row r="91" spans="1:3">
      <c r="A91" t="s">
        <v>250</v>
      </c>
      <c r="B91" t="s">
        <v>251</v>
      </c>
      <c r="C91" t="s">
        <v>252</v>
      </c>
    </row>
    <row r="92" spans="1:3">
      <c r="A92" t="s">
        <v>253</v>
      </c>
      <c r="B92" t="s">
        <v>254</v>
      </c>
      <c r="C92" t="s">
        <v>255</v>
      </c>
    </row>
    <row r="93" spans="1:3">
      <c r="A93" t="s">
        <v>256</v>
      </c>
      <c r="B93" t="s">
        <v>257</v>
      </c>
      <c r="C93" t="s">
        <v>258</v>
      </c>
    </row>
    <row r="94" spans="1:3">
      <c r="A94" t="s">
        <v>259</v>
      </c>
      <c r="B94" t="s">
        <v>260</v>
      </c>
      <c r="C94" t="s">
        <v>261</v>
      </c>
    </row>
    <row r="95" spans="1:3">
      <c r="A95" t="s">
        <v>262</v>
      </c>
      <c r="B95" t="s">
        <v>263</v>
      </c>
      <c r="C95" t="s">
        <v>264</v>
      </c>
    </row>
    <row r="96" spans="1:3">
      <c r="A96" t="s">
        <v>265</v>
      </c>
      <c r="B96" t="s">
        <v>266</v>
      </c>
      <c r="C96" t="s">
        <v>267</v>
      </c>
    </row>
    <row r="97" spans="1:3">
      <c r="A97" t="s">
        <v>268</v>
      </c>
      <c r="B97" t="s">
        <v>269</v>
      </c>
      <c r="C97" t="s">
        <v>270</v>
      </c>
    </row>
    <row r="98" spans="1:3">
      <c r="A98" t="s">
        <v>271</v>
      </c>
      <c r="B98" t="s">
        <v>272</v>
      </c>
      <c r="C98" t="s">
        <v>273</v>
      </c>
    </row>
    <row r="99" spans="1:3">
      <c r="A99" t="s">
        <v>274</v>
      </c>
      <c r="B99" t="s">
        <v>275</v>
      </c>
      <c r="C99" t="s">
        <v>276</v>
      </c>
    </row>
    <row r="100" spans="1:3">
      <c r="A100" t="s">
        <v>277</v>
      </c>
      <c r="B100" t="s">
        <v>278</v>
      </c>
      <c r="C100" t="s">
        <v>279</v>
      </c>
    </row>
    <row r="101" spans="1:3">
      <c r="A101" t="s">
        <v>280</v>
      </c>
      <c r="B101" t="s">
        <v>281</v>
      </c>
      <c r="C101" t="s">
        <v>282</v>
      </c>
    </row>
    <row r="102" spans="1:3">
      <c r="A102" t="s">
        <v>283</v>
      </c>
      <c r="B102" t="s">
        <v>284</v>
      </c>
      <c r="C102" t="s">
        <v>285</v>
      </c>
    </row>
    <row r="103" spans="1:3">
      <c r="A103" t="s">
        <v>286</v>
      </c>
      <c r="B103" t="e">
        <v>#N/A</v>
      </c>
    </row>
    <row r="104" spans="1:3">
      <c r="A104" t="s">
        <v>287</v>
      </c>
      <c r="B104" t="s">
        <v>288</v>
      </c>
      <c r="C104" t="s">
        <v>289</v>
      </c>
    </row>
    <row r="105" spans="1:3">
      <c r="A105" t="s">
        <v>290</v>
      </c>
      <c r="B105" t="s">
        <v>291</v>
      </c>
      <c r="C105" t="s">
        <v>292</v>
      </c>
    </row>
    <row r="106" spans="1:3">
      <c r="A106" t="s">
        <v>293</v>
      </c>
      <c r="B106" t="s">
        <v>294</v>
      </c>
      <c r="C106" t="s">
        <v>295</v>
      </c>
    </row>
    <row r="107" spans="1:3">
      <c r="A107" t="s">
        <v>296</v>
      </c>
      <c r="B107" t="s">
        <v>297</v>
      </c>
      <c r="C107" t="s">
        <v>298</v>
      </c>
    </row>
    <row r="108" spans="1:3">
      <c r="A108" t="s">
        <v>299</v>
      </c>
      <c r="B108" t="s">
        <v>228</v>
      </c>
      <c r="C108" t="s">
        <v>229</v>
      </c>
    </row>
    <row r="109" spans="1:3">
      <c r="A109" t="s">
        <v>300</v>
      </c>
      <c r="B109" t="s">
        <v>301</v>
      </c>
      <c r="C109" t="s">
        <v>302</v>
      </c>
    </row>
    <row r="110" spans="1:3">
      <c r="A110" t="s">
        <v>303</v>
      </c>
      <c r="B110" t="s">
        <v>304</v>
      </c>
      <c r="C110" t="s">
        <v>305</v>
      </c>
    </row>
    <row r="111" spans="1:3">
      <c r="A111" t="s">
        <v>306</v>
      </c>
      <c r="B111" t="s">
        <v>307</v>
      </c>
      <c r="C111" t="s">
        <v>308</v>
      </c>
    </row>
    <row r="112" spans="1:3">
      <c r="A112" t="s">
        <v>309</v>
      </c>
      <c r="B112" t="s">
        <v>310</v>
      </c>
      <c r="C112" t="s">
        <v>311</v>
      </c>
    </row>
    <row r="113" spans="1:3">
      <c r="A113" t="s">
        <v>312</v>
      </c>
      <c r="B113" t="s">
        <v>313</v>
      </c>
      <c r="C113" t="s">
        <v>314</v>
      </c>
    </row>
    <row r="114" spans="1:3">
      <c r="A114" t="s">
        <v>315</v>
      </c>
      <c r="B114" t="s">
        <v>316</v>
      </c>
      <c r="C114" t="s">
        <v>317</v>
      </c>
    </row>
    <row r="115" spans="1:3">
      <c r="A115" t="s">
        <v>318</v>
      </c>
      <c r="B115" t="s">
        <v>319</v>
      </c>
      <c r="C115" t="s">
        <v>320</v>
      </c>
    </row>
    <row r="116" spans="1:3">
      <c r="A116" t="s">
        <v>321</v>
      </c>
      <c r="B116" t="s">
        <v>322</v>
      </c>
      <c r="C116" t="s">
        <v>323</v>
      </c>
    </row>
    <row r="117" spans="1:3">
      <c r="A117" t="s">
        <v>324</v>
      </c>
      <c r="B117" t="s">
        <v>325</v>
      </c>
      <c r="C117" t="s">
        <v>326</v>
      </c>
    </row>
    <row r="118" spans="1:3">
      <c r="A118" t="s">
        <v>327</v>
      </c>
      <c r="B118" t="s">
        <v>328</v>
      </c>
      <c r="C118" t="s">
        <v>329</v>
      </c>
    </row>
    <row r="119" spans="1:3">
      <c r="A119" t="s">
        <v>330</v>
      </c>
      <c r="B119" t="s">
        <v>331</v>
      </c>
      <c r="C119" t="s">
        <v>332</v>
      </c>
    </row>
    <row r="120" spans="1:3">
      <c r="A120" t="s">
        <v>333</v>
      </c>
      <c r="B120" t="s">
        <v>193</v>
      </c>
      <c r="C120" t="s">
        <v>194</v>
      </c>
    </row>
    <row r="121" spans="1:3">
      <c r="A121" t="s">
        <v>334</v>
      </c>
      <c r="B121" t="s">
        <v>335</v>
      </c>
      <c r="C121" t="s">
        <v>336</v>
      </c>
    </row>
    <row r="122" spans="1:3">
      <c r="A122" t="s">
        <v>337</v>
      </c>
      <c r="B122" t="s">
        <v>338</v>
      </c>
      <c r="C122" t="s">
        <v>339</v>
      </c>
    </row>
    <row r="123" spans="1:3">
      <c r="A123" t="s">
        <v>340</v>
      </c>
      <c r="B123" t="s">
        <v>341</v>
      </c>
      <c r="C123" t="s">
        <v>342</v>
      </c>
    </row>
    <row r="124" spans="1:3">
      <c r="A124" t="s">
        <v>343</v>
      </c>
      <c r="B124" t="s">
        <v>344</v>
      </c>
      <c r="C124" t="s">
        <v>345</v>
      </c>
    </row>
    <row r="125" spans="1:3">
      <c r="A125" t="s">
        <v>346</v>
      </c>
      <c r="B125" t="s">
        <v>347</v>
      </c>
      <c r="C125" t="s">
        <v>348</v>
      </c>
    </row>
    <row r="126" spans="1:3">
      <c r="A126" t="s">
        <v>349</v>
      </c>
      <c r="B126" t="s">
        <v>350</v>
      </c>
      <c r="C126" t="s">
        <v>351</v>
      </c>
    </row>
    <row r="127" spans="1:3">
      <c r="A127" t="s">
        <v>352</v>
      </c>
      <c r="B127" t="s">
        <v>353</v>
      </c>
      <c r="C127" t="s">
        <v>354</v>
      </c>
    </row>
    <row r="128" spans="1:3">
      <c r="A128" t="s">
        <v>355</v>
      </c>
      <c r="B128" t="s">
        <v>356</v>
      </c>
      <c r="C128" t="s">
        <v>357</v>
      </c>
    </row>
    <row r="129" spans="1:3">
      <c r="A129" t="s">
        <v>358</v>
      </c>
      <c r="B129" t="s">
        <v>359</v>
      </c>
      <c r="C129" t="s">
        <v>360</v>
      </c>
    </row>
    <row r="130" spans="1:3">
      <c r="A130" t="s">
        <v>361</v>
      </c>
      <c r="B130" t="s">
        <v>362</v>
      </c>
      <c r="C130" t="s">
        <v>363</v>
      </c>
    </row>
    <row r="131" spans="1:3">
      <c r="A131" t="s">
        <v>364</v>
      </c>
      <c r="B131" t="s">
        <v>365</v>
      </c>
      <c r="C131" t="s">
        <v>366</v>
      </c>
    </row>
    <row r="132" spans="1:3">
      <c r="A132" t="s">
        <v>367</v>
      </c>
      <c r="B132" t="s">
        <v>368</v>
      </c>
      <c r="C132" t="s">
        <v>369</v>
      </c>
    </row>
    <row r="133" spans="1:3">
      <c r="A133" t="s">
        <v>370</v>
      </c>
      <c r="B133" t="s">
        <v>371</v>
      </c>
      <c r="C133" t="s">
        <v>372</v>
      </c>
    </row>
    <row r="134" spans="1:3">
      <c r="A134" t="s">
        <v>373</v>
      </c>
      <c r="B134" t="s">
        <v>374</v>
      </c>
      <c r="C134" t="s">
        <v>375</v>
      </c>
    </row>
    <row r="135" spans="1:3">
      <c r="A135" t="s">
        <v>376</v>
      </c>
      <c r="B135" t="s">
        <v>377</v>
      </c>
      <c r="C135" t="s">
        <v>378</v>
      </c>
    </row>
    <row r="136" spans="1:3">
      <c r="A136" t="s">
        <v>379</v>
      </c>
      <c r="B136" t="s">
        <v>380</v>
      </c>
      <c r="C136" t="s">
        <v>381</v>
      </c>
    </row>
    <row r="137" spans="1:3">
      <c r="A137" t="s">
        <v>382</v>
      </c>
      <c r="B137" t="s">
        <v>383</v>
      </c>
      <c r="C137" t="s">
        <v>384</v>
      </c>
    </row>
    <row r="138" spans="1:3">
      <c r="A138" t="s">
        <v>385</v>
      </c>
      <c r="B138" t="s">
        <v>386</v>
      </c>
      <c r="C138" t="s">
        <v>387</v>
      </c>
    </row>
    <row r="139" spans="1:3">
      <c r="A139" t="s">
        <v>388</v>
      </c>
      <c r="B139" t="s">
        <v>389</v>
      </c>
      <c r="C139" t="s">
        <v>390</v>
      </c>
    </row>
    <row r="140" spans="1:3">
      <c r="A140" t="s">
        <v>391</v>
      </c>
      <c r="B140" t="s">
        <v>392</v>
      </c>
      <c r="C140" t="s">
        <v>393</v>
      </c>
    </row>
    <row r="141" spans="1:3">
      <c r="A141" t="s">
        <v>394</v>
      </c>
      <c r="B141" t="s">
        <v>395</v>
      </c>
      <c r="C141" t="s">
        <v>396</v>
      </c>
    </row>
    <row r="142" spans="1:3">
      <c r="A142" t="s">
        <v>397</v>
      </c>
      <c r="B142" t="s">
        <v>398</v>
      </c>
      <c r="C142" t="s">
        <v>399</v>
      </c>
    </row>
    <row r="143" spans="1:3">
      <c r="A143" t="s">
        <v>400</v>
      </c>
      <c r="B143" t="s">
        <v>401</v>
      </c>
      <c r="C143" t="s">
        <v>402</v>
      </c>
    </row>
    <row r="144" spans="1:3">
      <c r="A144" t="s">
        <v>403</v>
      </c>
      <c r="B144" t="s">
        <v>404</v>
      </c>
      <c r="C144" t="s">
        <v>405</v>
      </c>
    </row>
    <row r="145" spans="1:3">
      <c r="A145" t="s">
        <v>406</v>
      </c>
      <c r="B145" t="s">
        <v>407</v>
      </c>
      <c r="C145" t="s">
        <v>408</v>
      </c>
    </row>
    <row r="146" spans="1:3">
      <c r="A146" t="s">
        <v>409</v>
      </c>
      <c r="B146" t="s">
        <v>410</v>
      </c>
      <c r="C146" t="s">
        <v>411</v>
      </c>
    </row>
    <row r="147" spans="1:3">
      <c r="A147" t="s">
        <v>412</v>
      </c>
      <c r="B147" t="s">
        <v>413</v>
      </c>
      <c r="C147" t="s">
        <v>414</v>
      </c>
    </row>
    <row r="148" spans="1:3">
      <c r="A148" t="s">
        <v>415</v>
      </c>
      <c r="B148" t="s">
        <v>416</v>
      </c>
      <c r="C148" t="s">
        <v>417</v>
      </c>
    </row>
    <row r="149" spans="1:3">
      <c r="A149" t="s">
        <v>418</v>
      </c>
      <c r="B149" t="s">
        <v>419</v>
      </c>
      <c r="C149" t="s">
        <v>420</v>
      </c>
    </row>
    <row r="150" spans="1:3">
      <c r="A150" t="s">
        <v>421</v>
      </c>
      <c r="B150" t="s">
        <v>422</v>
      </c>
      <c r="C150" t="s">
        <v>423</v>
      </c>
    </row>
    <row r="151" spans="1:3">
      <c r="A151" t="s">
        <v>424</v>
      </c>
      <c r="B151" t="s">
        <v>425</v>
      </c>
      <c r="C151" t="s">
        <v>426</v>
      </c>
    </row>
    <row r="152" spans="1:3">
      <c r="A152" t="s">
        <v>427</v>
      </c>
      <c r="B152" t="s">
        <v>428</v>
      </c>
      <c r="C152" t="s">
        <v>429</v>
      </c>
    </row>
    <row r="153" spans="1:3">
      <c r="A153" t="s">
        <v>430</v>
      </c>
      <c r="B153" t="s">
        <v>374</v>
      </c>
      <c r="C153" t="s">
        <v>375</v>
      </c>
    </row>
    <row r="154" spans="1:3">
      <c r="A154" t="s">
        <v>431</v>
      </c>
      <c r="B154" t="s">
        <v>383</v>
      </c>
      <c r="C154" t="s">
        <v>384</v>
      </c>
    </row>
    <row r="155" spans="1:3">
      <c r="A155" t="s">
        <v>432</v>
      </c>
      <c r="B155" t="s">
        <v>433</v>
      </c>
      <c r="C155" t="s">
        <v>434</v>
      </c>
    </row>
    <row r="156" spans="1:3">
      <c r="A156" t="s">
        <v>435</v>
      </c>
      <c r="B156" t="s">
        <v>436</v>
      </c>
      <c r="C156" t="s">
        <v>437</v>
      </c>
    </row>
    <row r="157" spans="1:3">
      <c r="A157" t="s">
        <v>438</v>
      </c>
      <c r="B157" t="s">
        <v>439</v>
      </c>
      <c r="C157" t="s">
        <v>440</v>
      </c>
    </row>
    <row r="158" spans="1:3">
      <c r="A158" t="s">
        <v>441</v>
      </c>
      <c r="B158" t="s">
        <v>442</v>
      </c>
      <c r="C158" t="s">
        <v>443</v>
      </c>
    </row>
    <row r="159" spans="1:3">
      <c r="A159" t="s">
        <v>444</v>
      </c>
      <c r="B159" t="s">
        <v>445</v>
      </c>
      <c r="C159" t="s">
        <v>446</v>
      </c>
    </row>
    <row r="160" spans="1:3">
      <c r="A160" t="s">
        <v>447</v>
      </c>
      <c r="B160" t="s">
        <v>448</v>
      </c>
      <c r="C160" t="s">
        <v>449</v>
      </c>
    </row>
    <row r="161" spans="1:3">
      <c r="A161" t="s">
        <v>450</v>
      </c>
      <c r="B161" t="s">
        <v>451</v>
      </c>
      <c r="C161" t="s">
        <v>452</v>
      </c>
    </row>
    <row r="162" spans="1:3">
      <c r="A162" t="s">
        <v>453</v>
      </c>
      <c r="B162" t="s">
        <v>454</v>
      </c>
      <c r="C162" t="s">
        <v>455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459</v>
      </c>
      <c r="B164" t="s">
        <v>460</v>
      </c>
      <c r="C164" t="s">
        <v>461</v>
      </c>
    </row>
    <row r="165" spans="1:3">
      <c r="A165" t="s">
        <v>462</v>
      </c>
      <c r="B165" t="s">
        <v>386</v>
      </c>
      <c r="C165" t="s">
        <v>387</v>
      </c>
    </row>
    <row r="166" spans="1:3">
      <c r="A166" t="s">
        <v>463</v>
      </c>
      <c r="B166" t="s">
        <v>433</v>
      </c>
      <c r="C166" t="s">
        <v>434</v>
      </c>
    </row>
    <row r="167" spans="1:3">
      <c r="A167" t="s">
        <v>464</v>
      </c>
      <c r="B167" t="s">
        <v>465</v>
      </c>
      <c r="C167" t="s">
        <v>466</v>
      </c>
    </row>
    <row r="168" spans="1:3">
      <c r="A168" t="s">
        <v>467</v>
      </c>
      <c r="B168" t="s">
        <v>468</v>
      </c>
      <c r="C168" t="s">
        <v>469</v>
      </c>
    </row>
    <row r="169" spans="1:3">
      <c r="A169" t="s">
        <v>470</v>
      </c>
      <c r="B169" t="s">
        <v>471</v>
      </c>
      <c r="C169" t="s">
        <v>472</v>
      </c>
    </row>
    <row r="170" spans="1:3">
      <c r="A170" t="s">
        <v>473</v>
      </c>
      <c r="B170" t="s">
        <v>474</v>
      </c>
      <c r="C170" t="s">
        <v>475</v>
      </c>
    </row>
    <row r="171" spans="1:3">
      <c r="A171" t="s">
        <v>476</v>
      </c>
      <c r="B171" t="s">
        <v>477</v>
      </c>
      <c r="C171" t="s">
        <v>478</v>
      </c>
    </row>
    <row r="172" spans="1:3">
      <c r="A172" t="s">
        <v>479</v>
      </c>
      <c r="B172" t="s">
        <v>380</v>
      </c>
      <c r="C172" t="s">
        <v>381</v>
      </c>
    </row>
    <row r="173" spans="1:3">
      <c r="A173" t="s">
        <v>480</v>
      </c>
      <c r="B173" t="s">
        <v>481</v>
      </c>
      <c r="C173" t="s">
        <v>482</v>
      </c>
    </row>
    <row r="174" spans="1:3">
      <c r="A174" t="s">
        <v>483</v>
      </c>
      <c r="B174" t="s">
        <v>484</v>
      </c>
      <c r="C174" t="s">
        <v>485</v>
      </c>
    </row>
    <row r="175" spans="1:3">
      <c r="A175" t="s">
        <v>486</v>
      </c>
      <c r="B175" t="s">
        <v>487</v>
      </c>
      <c r="C175" t="s">
        <v>488</v>
      </c>
    </row>
    <row r="176" spans="1:3">
      <c r="A176" t="s">
        <v>489</v>
      </c>
      <c r="B176" t="s">
        <v>490</v>
      </c>
      <c r="C176" t="s">
        <v>491</v>
      </c>
    </row>
    <row r="177" spans="1:3">
      <c r="A177" t="s">
        <v>492</v>
      </c>
      <c r="B177" t="s">
        <v>493</v>
      </c>
      <c r="C177" t="s">
        <v>494</v>
      </c>
    </row>
    <row r="178" spans="1:3">
      <c r="A178" t="s">
        <v>495</v>
      </c>
      <c r="B178" t="s">
        <v>496</v>
      </c>
      <c r="C178" t="s">
        <v>497</v>
      </c>
    </row>
    <row r="179" spans="1:3">
      <c r="A179" t="s">
        <v>498</v>
      </c>
      <c r="B179" t="s">
        <v>499</v>
      </c>
      <c r="C179" t="s">
        <v>500</v>
      </c>
    </row>
    <row r="180" spans="1:3">
      <c r="A180" t="s">
        <v>501</v>
      </c>
      <c r="B180" t="s">
        <v>502</v>
      </c>
      <c r="C180" t="s">
        <v>503</v>
      </c>
    </row>
    <row r="181" spans="1:3">
      <c r="A181" t="s">
        <v>504</v>
      </c>
      <c r="B181" t="s">
        <v>505</v>
      </c>
      <c r="C181" t="s">
        <v>506</v>
      </c>
    </row>
    <row r="182" spans="1:3">
      <c r="A182" t="s">
        <v>507</v>
      </c>
      <c r="B182" t="s">
        <v>508</v>
      </c>
      <c r="C182" t="s">
        <v>509</v>
      </c>
    </row>
    <row r="183" spans="1:3">
      <c r="A183" t="s">
        <v>510</v>
      </c>
      <c r="B183" t="s">
        <v>511</v>
      </c>
      <c r="C183" t="s">
        <v>512</v>
      </c>
    </row>
    <row r="184" spans="1:3">
      <c r="A184" t="s">
        <v>513</v>
      </c>
      <c r="B184" t="s">
        <v>514</v>
      </c>
      <c r="C184" t="s">
        <v>515</v>
      </c>
    </row>
    <row r="185" spans="1:3">
      <c r="A185" t="s">
        <v>516</v>
      </c>
      <c r="B185" t="s">
        <v>517</v>
      </c>
      <c r="C185" t="s">
        <v>518</v>
      </c>
    </row>
    <row r="186" spans="1:3">
      <c r="A186" t="s">
        <v>519</v>
      </c>
      <c r="B186" t="s">
        <v>520</v>
      </c>
      <c r="C186" t="s">
        <v>521</v>
      </c>
    </row>
    <row r="187" spans="1:3">
      <c r="A187" t="s">
        <v>522</v>
      </c>
      <c r="B187" t="s">
        <v>377</v>
      </c>
      <c r="C187" t="s">
        <v>378</v>
      </c>
    </row>
    <row r="188" spans="1:3">
      <c r="A188" t="s">
        <v>523</v>
      </c>
      <c r="B188" t="s">
        <v>524</v>
      </c>
      <c r="C188" t="s">
        <v>525</v>
      </c>
    </row>
    <row r="189" spans="1:3">
      <c r="A189" t="s">
        <v>526</v>
      </c>
      <c r="B189" t="s">
        <v>527</v>
      </c>
      <c r="C189" t="s">
        <v>528</v>
      </c>
    </row>
    <row r="190" spans="1:3">
      <c r="A190" t="s">
        <v>529</v>
      </c>
      <c r="B190" t="s">
        <v>530</v>
      </c>
      <c r="C190" t="s">
        <v>531</v>
      </c>
    </row>
    <row r="191" spans="1:3">
      <c r="A191" t="s">
        <v>532</v>
      </c>
      <c r="B191" t="s">
        <v>533</v>
      </c>
      <c r="C191" t="s">
        <v>534</v>
      </c>
    </row>
    <row r="192" spans="1:3">
      <c r="A192" t="s">
        <v>535</v>
      </c>
      <c r="B192" t="s">
        <v>536</v>
      </c>
      <c r="C192" t="s">
        <v>537</v>
      </c>
    </row>
    <row r="193" spans="1:3">
      <c r="A193" t="s">
        <v>538</v>
      </c>
      <c r="B193" t="s">
        <v>539</v>
      </c>
      <c r="C193" t="s">
        <v>540</v>
      </c>
    </row>
    <row r="194" spans="1:3">
      <c r="A194" t="s">
        <v>541</v>
      </c>
      <c r="B194" t="s">
        <v>542</v>
      </c>
      <c r="C194" t="s">
        <v>543</v>
      </c>
    </row>
    <row r="195" spans="1:3">
      <c r="A195" t="s">
        <v>544</v>
      </c>
      <c r="B195" t="s">
        <v>545</v>
      </c>
      <c r="C195" t="s">
        <v>546</v>
      </c>
    </row>
    <row r="196" spans="1:3">
      <c r="A196" t="s">
        <v>547</v>
      </c>
      <c r="B196" t="s">
        <v>548</v>
      </c>
      <c r="C196" t="s">
        <v>549</v>
      </c>
    </row>
    <row r="197" spans="1:3">
      <c r="A197" t="s">
        <v>550</v>
      </c>
      <c r="B197" t="s">
        <v>551</v>
      </c>
      <c r="C197" t="s">
        <v>552</v>
      </c>
    </row>
    <row r="198" spans="1:3">
      <c r="A198" t="s">
        <v>553</v>
      </c>
      <c r="B198" t="s">
        <v>554</v>
      </c>
      <c r="C198" t="s">
        <v>555</v>
      </c>
    </row>
    <row r="199" spans="1:3">
      <c r="A199" t="s">
        <v>556</v>
      </c>
      <c r="B199" t="s">
        <v>557</v>
      </c>
      <c r="C199" t="s">
        <v>558</v>
      </c>
    </row>
    <row r="200" spans="1:3">
      <c r="A200" t="s">
        <v>559</v>
      </c>
      <c r="B200" t="s">
        <v>560</v>
      </c>
      <c r="C200" t="s">
        <v>561</v>
      </c>
    </row>
    <row r="201" spans="1:3">
      <c r="A201" t="s">
        <v>562</v>
      </c>
      <c r="B201" t="s">
        <v>563</v>
      </c>
      <c r="C201" t="s">
        <v>564</v>
      </c>
    </row>
    <row r="202" spans="1:3">
      <c r="A202" t="s">
        <v>565</v>
      </c>
      <c r="B202" t="s">
        <v>566</v>
      </c>
      <c r="C202" t="s">
        <v>567</v>
      </c>
    </row>
    <row r="203" spans="1:3">
      <c r="A203" t="s">
        <v>568</v>
      </c>
      <c r="B203" t="s">
        <v>569</v>
      </c>
      <c r="C203" t="s">
        <v>570</v>
      </c>
    </row>
    <row r="204" spans="1:3">
      <c r="A204" t="s">
        <v>571</v>
      </c>
      <c r="B204" t="s">
        <v>572</v>
      </c>
      <c r="C204" t="s">
        <v>573</v>
      </c>
    </row>
    <row r="205" spans="1:3">
      <c r="A205" t="s">
        <v>574</v>
      </c>
      <c r="B205" t="s">
        <v>575</v>
      </c>
      <c r="C205" t="s">
        <v>576</v>
      </c>
    </row>
    <row r="206" spans="1:3">
      <c r="A206" t="s">
        <v>577</v>
      </c>
      <c r="B206" t="s">
        <v>578</v>
      </c>
      <c r="C206" t="s">
        <v>579</v>
      </c>
    </row>
    <row r="207" spans="1:3">
      <c r="A207" t="s">
        <v>580</v>
      </c>
      <c r="B207" t="s">
        <v>542</v>
      </c>
      <c r="C207" t="s">
        <v>543</v>
      </c>
    </row>
    <row r="208" spans="1:3">
      <c r="A208" t="s">
        <v>581</v>
      </c>
      <c r="B208" t="s">
        <v>582</v>
      </c>
      <c r="C208" t="s">
        <v>583</v>
      </c>
    </row>
    <row r="209" spans="1:3">
      <c r="A209" t="s">
        <v>584</v>
      </c>
      <c r="B209" t="s">
        <v>585</v>
      </c>
      <c r="C209" t="s">
        <v>586</v>
      </c>
    </row>
    <row r="210" spans="1:3">
      <c r="A210" t="s">
        <v>587</v>
      </c>
      <c r="B210" t="s">
        <v>514</v>
      </c>
      <c r="C210" t="s">
        <v>515</v>
      </c>
    </row>
    <row r="211" spans="1:3">
      <c r="A211" t="s">
        <v>588</v>
      </c>
      <c r="B211" t="s">
        <v>589</v>
      </c>
      <c r="C211" t="s">
        <v>590</v>
      </c>
    </row>
    <row r="212" spans="1:3">
      <c r="A212" t="s">
        <v>591</v>
      </c>
      <c r="B212" t="s">
        <v>592</v>
      </c>
      <c r="C212" t="s">
        <v>593</v>
      </c>
    </row>
    <row r="213" spans="1:3">
      <c r="A213" t="s">
        <v>594</v>
      </c>
      <c r="B213" t="s">
        <v>595</v>
      </c>
      <c r="C213" t="s">
        <v>596</v>
      </c>
    </row>
    <row r="214" spans="1:3">
      <c r="A214" t="s">
        <v>597</v>
      </c>
      <c r="B214" t="s">
        <v>598</v>
      </c>
      <c r="C214" t="s">
        <v>599</v>
      </c>
    </row>
    <row r="215" spans="1:3">
      <c r="A215" t="s">
        <v>600</v>
      </c>
      <c r="B215" t="s">
        <v>601</v>
      </c>
      <c r="C215" t="s">
        <v>602</v>
      </c>
    </row>
    <row r="216" spans="1:3">
      <c r="A216" t="s">
        <v>603</v>
      </c>
      <c r="B216" t="s">
        <v>604</v>
      </c>
      <c r="C216" t="s">
        <v>605</v>
      </c>
    </row>
    <row r="217" spans="1:3">
      <c r="A217" t="s">
        <v>606</v>
      </c>
      <c r="B217" t="s">
        <v>585</v>
      </c>
      <c r="C217" t="s">
        <v>586</v>
      </c>
    </row>
    <row r="218" spans="1:3">
      <c r="A218" t="s">
        <v>607</v>
      </c>
      <c r="B218" t="s">
        <v>608</v>
      </c>
      <c r="C218" t="s">
        <v>609</v>
      </c>
    </row>
    <row r="219" spans="1:3">
      <c r="A219" t="s">
        <v>610</v>
      </c>
      <c r="B219" t="s">
        <v>611</v>
      </c>
      <c r="C219" t="s">
        <v>612</v>
      </c>
    </row>
    <row r="220" spans="1:3">
      <c r="A220" t="s">
        <v>613</v>
      </c>
      <c r="B220" t="s">
        <v>614</v>
      </c>
      <c r="C220" t="s">
        <v>615</v>
      </c>
    </row>
    <row r="221" spans="1:3">
      <c r="A221" t="s">
        <v>616</v>
      </c>
      <c r="B221" t="s">
        <v>617</v>
      </c>
      <c r="C221" t="s">
        <v>618</v>
      </c>
    </row>
    <row r="222" spans="1:3">
      <c r="A222" t="s">
        <v>619</v>
      </c>
      <c r="B222" t="s">
        <v>620</v>
      </c>
      <c r="C222" t="s">
        <v>621</v>
      </c>
    </row>
    <row r="223" spans="1:3">
      <c r="A223" t="s">
        <v>622</v>
      </c>
      <c r="B223" t="s">
        <v>623</v>
      </c>
      <c r="C223" t="s">
        <v>624</v>
      </c>
    </row>
    <row r="224" spans="1:3">
      <c r="A224" t="s">
        <v>625</v>
      </c>
      <c r="B224" t="s">
        <v>623</v>
      </c>
      <c r="C224" t="s">
        <v>624</v>
      </c>
    </row>
    <row r="225" spans="1:3">
      <c r="A225" t="s">
        <v>626</v>
      </c>
      <c r="B225" t="s">
        <v>627</v>
      </c>
      <c r="C225" t="s">
        <v>628</v>
      </c>
    </row>
    <row r="226" spans="1:3">
      <c r="A226" t="s">
        <v>629</v>
      </c>
      <c r="B226" t="s">
        <v>630</v>
      </c>
      <c r="C226" t="s">
        <v>631</v>
      </c>
    </row>
    <row r="227" spans="1:3">
      <c r="A227" t="s">
        <v>632</v>
      </c>
      <c r="B227" t="s">
        <v>604</v>
      </c>
      <c r="C227" t="s">
        <v>605</v>
      </c>
    </row>
    <row r="228" spans="1:3">
      <c r="A228" t="s">
        <v>633</v>
      </c>
      <c r="B228" t="s">
        <v>634</v>
      </c>
      <c r="C228" t="s">
        <v>635</v>
      </c>
    </row>
    <row r="229" spans="1:3">
      <c r="A229" t="s">
        <v>636</v>
      </c>
      <c r="B229" t="s">
        <v>637</v>
      </c>
      <c r="C229" t="s">
        <v>638</v>
      </c>
    </row>
    <row r="230" spans="1:3">
      <c r="A230" t="s">
        <v>639</v>
      </c>
      <c r="B230" t="s">
        <v>640</v>
      </c>
      <c r="C230" t="s">
        <v>641</v>
      </c>
    </row>
    <row r="231" spans="1:3">
      <c r="A231" t="s">
        <v>642</v>
      </c>
      <c r="B231" t="s">
        <v>643</v>
      </c>
      <c r="C231" t="s">
        <v>644</v>
      </c>
    </row>
    <row r="232" spans="1:3">
      <c r="A232" t="s">
        <v>645</v>
      </c>
      <c r="B232" t="s">
        <v>646</v>
      </c>
      <c r="C232" t="s">
        <v>647</v>
      </c>
    </row>
    <row r="233" spans="1:3">
      <c r="A233" t="s">
        <v>648</v>
      </c>
      <c r="B233" t="s">
        <v>649</v>
      </c>
      <c r="C233" t="s">
        <v>650</v>
      </c>
    </row>
    <row r="234" spans="1:3">
      <c r="A234" t="s">
        <v>651</v>
      </c>
      <c r="B234" t="s">
        <v>652</v>
      </c>
      <c r="C234" t="s">
        <v>653</v>
      </c>
    </row>
    <row r="235" spans="1:3">
      <c r="A235" t="s">
        <v>654</v>
      </c>
      <c r="B235" t="s">
        <v>611</v>
      </c>
      <c r="C235" t="s">
        <v>612</v>
      </c>
    </row>
    <row r="236" spans="1:3">
      <c r="A236" t="s">
        <v>655</v>
      </c>
      <c r="B236" t="s">
        <v>656</v>
      </c>
      <c r="C236" t="s">
        <v>657</v>
      </c>
    </row>
    <row r="237" spans="1:3">
      <c r="A237" t="s">
        <v>658</v>
      </c>
      <c r="B237" t="s">
        <v>659</v>
      </c>
      <c r="C237" t="s">
        <v>660</v>
      </c>
    </row>
    <row r="238" spans="1:3">
      <c r="A238" t="s">
        <v>661</v>
      </c>
      <c r="B238" t="s">
        <v>662</v>
      </c>
      <c r="C238" t="s">
        <v>663</v>
      </c>
    </row>
    <row r="239" spans="1:3">
      <c r="A239" t="s">
        <v>664</v>
      </c>
      <c r="B239" t="s">
        <v>665</v>
      </c>
      <c r="C239" t="s">
        <v>666</v>
      </c>
    </row>
    <row r="240" spans="1:3">
      <c r="A240" t="s">
        <v>667</v>
      </c>
      <c r="B240" t="s">
        <v>668</v>
      </c>
      <c r="C240" t="s">
        <v>669</v>
      </c>
    </row>
    <row r="241" spans="1:3">
      <c r="A241" t="s">
        <v>670</v>
      </c>
      <c r="B241" t="s">
        <v>671</v>
      </c>
      <c r="C241" t="s">
        <v>672</v>
      </c>
    </row>
    <row r="242" spans="1:3">
      <c r="A242" t="s">
        <v>673</v>
      </c>
      <c r="B242" t="s">
        <v>674</v>
      </c>
      <c r="C242" t="s">
        <v>675</v>
      </c>
    </row>
    <row r="243" spans="1:3">
      <c r="A243" t="s">
        <v>676</v>
      </c>
      <c r="B243" t="s">
        <v>677</v>
      </c>
      <c r="C243" t="s">
        <v>678</v>
      </c>
    </row>
    <row r="244" spans="1:3">
      <c r="A244" t="s">
        <v>679</v>
      </c>
      <c r="B244" t="s">
        <v>680</v>
      </c>
      <c r="C244" t="s">
        <v>681</v>
      </c>
    </row>
    <row r="245" spans="1:3">
      <c r="A245" t="s">
        <v>682</v>
      </c>
      <c r="B245" t="s">
        <v>683</v>
      </c>
      <c r="C245" t="s">
        <v>684</v>
      </c>
    </row>
    <row r="246" spans="1:3">
      <c r="A246" t="s">
        <v>685</v>
      </c>
      <c r="B246" t="s">
        <v>686</v>
      </c>
      <c r="C246" t="s">
        <v>687</v>
      </c>
    </row>
    <row r="247" spans="1:3">
      <c r="A247" t="s">
        <v>688</v>
      </c>
      <c r="B247" t="s">
        <v>689</v>
      </c>
      <c r="C247" t="s">
        <v>690</v>
      </c>
    </row>
    <row r="248" spans="1:3">
      <c r="A248" t="s">
        <v>691</v>
      </c>
      <c r="B248" t="s">
        <v>692</v>
      </c>
      <c r="C248" t="s">
        <v>693</v>
      </c>
    </row>
    <row r="249" spans="1:3">
      <c r="A249" t="s">
        <v>694</v>
      </c>
      <c r="B249" t="s">
        <v>695</v>
      </c>
      <c r="C249" t="s">
        <v>696</v>
      </c>
    </row>
    <row r="250" spans="1:3">
      <c r="A250" t="s">
        <v>697</v>
      </c>
      <c r="B250" t="s">
        <v>698</v>
      </c>
      <c r="C250" t="s">
        <v>699</v>
      </c>
    </row>
    <row r="251" spans="1:3">
      <c r="A251" t="s">
        <v>700</v>
      </c>
      <c r="B251" t="s">
        <v>701</v>
      </c>
      <c r="C251" t="s">
        <v>702</v>
      </c>
    </row>
    <row r="252" spans="1:3">
      <c r="A252" t="s">
        <v>703</v>
      </c>
      <c r="B252" t="s">
        <v>704</v>
      </c>
      <c r="C252" t="s">
        <v>705</v>
      </c>
    </row>
    <row r="253" spans="1:3">
      <c r="A253" t="s">
        <v>706</v>
      </c>
      <c r="B253" t="s">
        <v>707</v>
      </c>
      <c r="C253" t="s">
        <v>708</v>
      </c>
    </row>
    <row r="254" spans="1:3">
      <c r="A254" t="s">
        <v>709</v>
      </c>
      <c r="B254" t="s">
        <v>710</v>
      </c>
      <c r="C254" t="s">
        <v>711</v>
      </c>
    </row>
    <row r="255" spans="1:3">
      <c r="A255" t="s">
        <v>712</v>
      </c>
      <c r="B255" t="s">
        <v>713</v>
      </c>
      <c r="C255" t="s">
        <v>714</v>
      </c>
    </row>
    <row r="256" spans="1:3">
      <c r="A256" t="s">
        <v>715</v>
      </c>
      <c r="B256" t="s">
        <v>713</v>
      </c>
      <c r="C256" t="s">
        <v>714</v>
      </c>
    </row>
    <row r="257" spans="1:3">
      <c r="A257" t="s">
        <v>716</v>
      </c>
      <c r="B257" t="s">
        <v>717</v>
      </c>
      <c r="C257" t="s">
        <v>718</v>
      </c>
    </row>
    <row r="258" spans="1:3">
      <c r="A258" t="s">
        <v>719</v>
      </c>
      <c r="B258" t="s">
        <v>720</v>
      </c>
      <c r="C258" t="s">
        <v>721</v>
      </c>
    </row>
    <row r="259" spans="1:3">
      <c r="A259" t="s">
        <v>722</v>
      </c>
      <c r="B259" t="s">
        <v>723</v>
      </c>
      <c r="C259" t="s">
        <v>724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1" sqref="A11"/>
    </sheetView>
  </sheetViews>
  <sheetFormatPr defaultColWidth="9.14285714285714" defaultRowHeight="15" outlineLevelCol="3"/>
  <cols>
    <col min="1" max="1" width="35.7142857142857" customWidth="1"/>
    <col min="2" max="2" width="42" customWidth="1"/>
    <col min="3" max="3" width="21.1428571428571" customWidth="1"/>
    <col min="4" max="4" width="20.7142857142857" customWidth="1"/>
  </cols>
  <sheetData>
    <row r="1" spans="1:4">
      <c r="A1" t="s">
        <v>725</v>
      </c>
      <c r="C1" t="s">
        <v>1</v>
      </c>
      <c r="D1" t="s">
        <v>2</v>
      </c>
    </row>
    <row r="2" spans="1:4">
      <c r="A2" t="s">
        <v>726</v>
      </c>
      <c r="B2" t="s">
        <v>727</v>
      </c>
      <c r="C2" t="str" cm="1">
        <f t="array" ref="C2:D2">_xlfn.TEXTSPLIT(B2,",")</f>
        <v>-7.6906061009263755</v>
      </c>
      <c r="D2" t="str">
        <v> 109.00491479981153</v>
      </c>
    </row>
    <row r="3" spans="1:4">
      <c r="A3" t="s">
        <v>728</v>
      </c>
      <c r="B3" t="s">
        <v>729</v>
      </c>
      <c r="C3" t="str" cm="1">
        <f t="array" ref="C3:D3">_xlfn.TEXTSPLIT(B3,",")</f>
        <v>-6.947545744355657</v>
      </c>
      <c r="D3" t="str">
        <v> 110.41543086938337</v>
      </c>
    </row>
    <row r="4" spans="1:4">
      <c r="A4" t="s">
        <v>730</v>
      </c>
      <c r="B4" t="s">
        <v>731</v>
      </c>
      <c r="C4" t="str" cm="1">
        <f t="array" ref="C4:D4">_xlfn.TEXTSPLIT(B4,",")</f>
        <v>-6.954949409362986</v>
      </c>
      <c r="D4" t="str">
        <v> 110.42477658650012</v>
      </c>
    </row>
    <row r="5" spans="1:4">
      <c r="A5" t="s">
        <v>732</v>
      </c>
      <c r="B5" t="s">
        <v>733</v>
      </c>
      <c r="C5" t="str" cm="1">
        <f t="array" ref="C5:D5">_xlfn.TEXTSPLIT(B5,",")</f>
        <v>-6.6354616812159195</v>
      </c>
      <c r="D5" t="str">
        <v> 111.54322497526385</v>
      </c>
    </row>
    <row r="6" spans="1:4">
      <c r="A6" t="s">
        <v>734</v>
      </c>
      <c r="B6" t="s">
        <v>735</v>
      </c>
      <c r="C6" t="str" cm="1">
        <f t="array" ref="C6:D6">_xlfn.TEXTSPLIT(B6,",")</f>
        <v>-7.203989588819085</v>
      </c>
      <c r="D6" t="str">
        <v> 112.71997688703587</v>
      </c>
    </row>
    <row r="7" spans="1:4">
      <c r="A7" t="s">
        <v>736</v>
      </c>
      <c r="B7" t="s">
        <v>737</v>
      </c>
      <c r="C7" t="str" cm="1">
        <f t="array" ref="C7:D7">_xlfn.TEXTSPLIT(B7,",")</f>
        <v>-7.10843127026511</v>
      </c>
      <c r="D7" t="str">
        <v> 112.62205219636796</v>
      </c>
    </row>
    <row r="8" spans="1:4">
      <c r="A8" t="s">
        <v>738</v>
      </c>
      <c r="B8" t="s">
        <v>739</v>
      </c>
      <c r="C8" t="str" cm="1">
        <f t="array" ref="C8:D8">_xlfn.TEXTSPLIT(B8,",")</f>
        <v>-7.1675232749073015</v>
      </c>
      <c r="D8" t="str">
        <v> 112.66586852891187</v>
      </c>
    </row>
    <row r="9" spans="1:4">
      <c r="A9" t="s">
        <v>740</v>
      </c>
      <c r="B9" t="s">
        <v>741</v>
      </c>
      <c r="C9" t="str" cm="1">
        <f t="array" ref="C9:D9">_xlfn.TEXTSPLIT(B9,",")</f>
        <v>-8.170909490944169</v>
      </c>
      <c r="D9" t="str">
        <v> 114.39241432423898</v>
      </c>
    </row>
    <row r="10" spans="1:4">
      <c r="A10" t="s">
        <v>742</v>
      </c>
      <c r="B10" t="s">
        <v>743</v>
      </c>
      <c r="C10" t="str" cm="1">
        <f t="array" ref="C10:D10">_xlfn.TEXTSPLIT(B10,",")</f>
        <v>-6.7669165329216625</v>
      </c>
      <c r="D10" t="str">
        <v> 111.96375660594765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"/>
  <sheetViews>
    <sheetView tabSelected="1" workbookViewId="0">
      <selection activeCell="B2" sqref="B$1:H$1048576"/>
    </sheetView>
  </sheetViews>
  <sheetFormatPr defaultColWidth="9.14285714285714" defaultRowHeight="15"/>
  <cols>
    <col min="2" max="8" width="34.5714285714286" customWidth="1"/>
    <col min="9" max="9" width="14"/>
  </cols>
  <sheetData>
    <row r="1" spans="1:9">
      <c r="B1" s="15" t="s">
        <v>744</v>
      </c>
      <c r="C1" s="16"/>
      <c r="D1" s="16"/>
      <c r="E1" s="16"/>
      <c r="F1" s="16"/>
      <c r="G1" s="16"/>
      <c r="H1" s="17"/>
    </row>
    <row r="2" ht="105" spans="1:9">
      <c r="B2" s="18" t="s">
        <v>745</v>
      </c>
      <c r="C2" s="18" t="s">
        <v>746</v>
      </c>
      <c r="D2" s="18" t="s">
        <v>747</v>
      </c>
      <c r="E2" s="18" t="s">
        <v>748</v>
      </c>
      <c r="F2" s="19" t="s">
        <v>749</v>
      </c>
      <c r="G2" s="19" t="s">
        <v>750</v>
      </c>
      <c r="H2" s="19" t="s">
        <v>751</v>
      </c>
    </row>
    <row r="3" spans="1:9">
      <c r="A3" t="s">
        <v>0</v>
      </c>
      <c r="B3" s="20">
        <v>2301</v>
      </c>
      <c r="C3" s="20">
        <v>2302</v>
      </c>
      <c r="D3" s="20">
        <v>2303</v>
      </c>
      <c r="E3" s="20">
        <v>2304</v>
      </c>
      <c r="F3" s="21">
        <v>2401</v>
      </c>
      <c r="G3" s="21">
        <v>2402</v>
      </c>
      <c r="H3" s="21">
        <v>2406</v>
      </c>
      <c r="I3" t="s">
        <v>752</v>
      </c>
    </row>
    <row r="4" spans="1:9">
      <c r="A4" t="s">
        <v>3</v>
      </c>
      <c r="B4" s="22">
        <v>4995.08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4">
        <f>SUM(B4:H4)</f>
        <v>4995.08</v>
      </c>
    </row>
    <row r="5" spans="1:9">
      <c r="A5" t="s">
        <v>6</v>
      </c>
      <c r="B5" s="22">
        <v>4295.72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4">
        <f t="shared" ref="I5:I68" si="0">SUM(B5:H5)</f>
        <v>4295.72</v>
      </c>
    </row>
    <row r="6" spans="1:9">
      <c r="A6" t="s">
        <v>9</v>
      </c>
      <c r="B6" s="22">
        <v>7436.08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4">
        <f t="shared" si="0"/>
        <v>7436.08</v>
      </c>
    </row>
    <row r="7" spans="1:9">
      <c r="A7" t="s">
        <v>12</v>
      </c>
      <c r="B7" s="22">
        <v>10994.76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4">
        <f t="shared" si="0"/>
        <v>10994.76</v>
      </c>
    </row>
    <row r="8" spans="1:9">
      <c r="A8" t="s">
        <v>15</v>
      </c>
      <c r="B8" s="22">
        <v>8904.46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4">
        <f t="shared" si="0"/>
        <v>8904.46</v>
      </c>
    </row>
    <row r="9" spans="1:9">
      <c r="A9" t="s">
        <v>18</v>
      </c>
      <c r="B9" s="22">
        <v>5623.72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4">
        <f t="shared" si="0"/>
        <v>5623.72</v>
      </c>
    </row>
    <row r="10" spans="1:9">
      <c r="A10" t="s">
        <v>21</v>
      </c>
      <c r="B10" s="22">
        <v>5580.76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4">
        <f t="shared" si="0"/>
        <v>5580.76</v>
      </c>
    </row>
    <row r="11" spans="1:9">
      <c r="A11" t="s">
        <v>24</v>
      </c>
      <c r="B11" s="22">
        <v>8659.39000000001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4">
        <f t="shared" si="0"/>
        <v>8659.39000000001</v>
      </c>
    </row>
    <row r="12" spans="1:9">
      <c r="A12" t="s">
        <v>27</v>
      </c>
      <c r="B12" s="22">
        <v>12492.24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4">
        <f t="shared" si="0"/>
        <v>12492.24</v>
      </c>
    </row>
    <row r="13" spans="1:9">
      <c r="A13" t="s">
        <v>28</v>
      </c>
      <c r="B13" s="22">
        <v>6151.41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4">
        <f t="shared" si="0"/>
        <v>6151.41</v>
      </c>
    </row>
    <row r="14" spans="1:9">
      <c r="A14" t="s">
        <v>31</v>
      </c>
      <c r="B14" s="22">
        <v>13599.52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4">
        <f t="shared" si="0"/>
        <v>13599.52</v>
      </c>
    </row>
    <row r="15" spans="1:9">
      <c r="A15" t="s">
        <v>34</v>
      </c>
      <c r="B15" s="22">
        <v>7709.91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4">
        <f t="shared" si="0"/>
        <v>7709.91</v>
      </c>
    </row>
    <row r="16" spans="1:9">
      <c r="A16" t="s">
        <v>37</v>
      </c>
      <c r="B16" s="23">
        <v>0</v>
      </c>
      <c r="C16" s="23">
        <v>825.21</v>
      </c>
      <c r="D16" s="23">
        <v>120.24</v>
      </c>
      <c r="E16" s="23">
        <v>5701.02</v>
      </c>
      <c r="F16" s="23">
        <v>0</v>
      </c>
      <c r="G16" s="23">
        <v>0</v>
      </c>
      <c r="H16" s="23">
        <v>0</v>
      </c>
      <c r="I16" s="24">
        <f t="shared" si="0"/>
        <v>6646.47</v>
      </c>
    </row>
    <row r="17" spans="1:9">
      <c r="A17" t="s">
        <v>40</v>
      </c>
      <c r="B17" s="23">
        <v>0</v>
      </c>
      <c r="C17" s="23">
        <v>2760.62</v>
      </c>
      <c r="D17" s="23">
        <v>255.9</v>
      </c>
      <c r="E17" s="23">
        <v>2367.46</v>
      </c>
      <c r="F17" s="23">
        <v>0</v>
      </c>
      <c r="G17" s="23">
        <v>0</v>
      </c>
      <c r="H17" s="23">
        <v>0</v>
      </c>
      <c r="I17" s="24">
        <f t="shared" si="0"/>
        <v>5383.98</v>
      </c>
    </row>
    <row r="18" spans="1:9">
      <c r="A18" t="s">
        <v>43</v>
      </c>
      <c r="B18" s="23">
        <v>5422.74</v>
      </c>
      <c r="C18" s="23">
        <v>1981.5</v>
      </c>
      <c r="D18" s="23">
        <v>75.24</v>
      </c>
      <c r="E18" s="23">
        <v>0</v>
      </c>
      <c r="F18" s="23">
        <v>0</v>
      </c>
      <c r="G18" s="23">
        <v>0</v>
      </c>
      <c r="H18" s="23">
        <v>0</v>
      </c>
      <c r="I18" s="24">
        <f t="shared" si="0"/>
        <v>7479.48</v>
      </c>
    </row>
    <row r="19" spans="1:9">
      <c r="A19" t="s">
        <v>46</v>
      </c>
      <c r="B19" s="23">
        <v>6135.9</v>
      </c>
      <c r="C19" s="23">
        <v>2085.29</v>
      </c>
      <c r="D19" s="23">
        <v>164.92</v>
      </c>
      <c r="E19" s="23">
        <v>0</v>
      </c>
      <c r="F19" s="23">
        <v>0</v>
      </c>
      <c r="G19" s="23">
        <v>0</v>
      </c>
      <c r="H19" s="23">
        <v>0</v>
      </c>
      <c r="I19" s="24">
        <f t="shared" si="0"/>
        <v>8386.11</v>
      </c>
    </row>
    <row r="20" spans="1:9">
      <c r="A20" t="s">
        <v>49</v>
      </c>
      <c r="B20" s="23">
        <v>15847.25</v>
      </c>
      <c r="C20" s="23">
        <v>50.01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4">
        <f t="shared" si="0"/>
        <v>15897.26</v>
      </c>
    </row>
    <row r="21" spans="1:9">
      <c r="A21" t="s">
        <v>52</v>
      </c>
      <c r="B21" s="23">
        <v>16620.67</v>
      </c>
      <c r="C21" s="23">
        <v>1040.63</v>
      </c>
      <c r="D21" s="23">
        <v>867.5</v>
      </c>
      <c r="E21" s="23">
        <v>0</v>
      </c>
      <c r="F21" s="23">
        <v>0</v>
      </c>
      <c r="G21" s="23">
        <v>0</v>
      </c>
      <c r="H21" s="23">
        <v>0</v>
      </c>
      <c r="I21" s="24">
        <f t="shared" si="0"/>
        <v>18528.8</v>
      </c>
    </row>
    <row r="22" spans="1:9">
      <c r="A22" t="s">
        <v>55</v>
      </c>
      <c r="B22" s="23">
        <v>0</v>
      </c>
      <c r="C22" s="23">
        <v>3424.05</v>
      </c>
      <c r="D22" s="23">
        <v>16794.48</v>
      </c>
      <c r="E22" s="23">
        <v>0</v>
      </c>
      <c r="F22" s="23">
        <v>0</v>
      </c>
      <c r="G22" s="23">
        <v>90.35</v>
      </c>
      <c r="H22" s="23">
        <v>0</v>
      </c>
      <c r="I22" s="24">
        <f t="shared" si="0"/>
        <v>20308.88</v>
      </c>
    </row>
    <row r="23" spans="1:9">
      <c r="A23" t="s">
        <v>58</v>
      </c>
      <c r="B23" s="23">
        <v>11621.61</v>
      </c>
      <c r="C23" s="23">
        <v>160.05</v>
      </c>
      <c r="D23" s="23">
        <v>25.36</v>
      </c>
      <c r="E23" s="23">
        <v>0</v>
      </c>
      <c r="F23" s="23">
        <v>0</v>
      </c>
      <c r="G23" s="23">
        <v>0</v>
      </c>
      <c r="H23" s="23">
        <v>0</v>
      </c>
      <c r="I23" s="24">
        <f t="shared" si="0"/>
        <v>11807.02</v>
      </c>
    </row>
    <row r="24" spans="1:9">
      <c r="A24" t="s">
        <v>61</v>
      </c>
      <c r="B24" s="23">
        <v>0</v>
      </c>
      <c r="C24" s="23">
        <v>740.27</v>
      </c>
      <c r="D24" s="23">
        <v>265.32</v>
      </c>
      <c r="E24" s="23">
        <v>13034.34</v>
      </c>
      <c r="F24" s="23">
        <v>0</v>
      </c>
      <c r="G24" s="23">
        <v>85.17</v>
      </c>
      <c r="H24" s="23">
        <v>0</v>
      </c>
      <c r="I24" s="24">
        <f t="shared" si="0"/>
        <v>14125.1</v>
      </c>
    </row>
    <row r="25" spans="1:9">
      <c r="A25" t="s">
        <v>64</v>
      </c>
      <c r="B25" s="23">
        <v>0</v>
      </c>
      <c r="C25" s="23">
        <v>1560.76</v>
      </c>
      <c r="D25" s="23">
        <v>407.64</v>
      </c>
      <c r="E25" s="23">
        <v>11417.36</v>
      </c>
      <c r="F25" s="23">
        <v>0</v>
      </c>
      <c r="G25" s="23">
        <v>0</v>
      </c>
      <c r="H25" s="23">
        <v>0</v>
      </c>
      <c r="I25" s="24">
        <f t="shared" si="0"/>
        <v>13385.76</v>
      </c>
    </row>
    <row r="26" spans="1:9">
      <c r="A26" t="s">
        <v>65</v>
      </c>
      <c r="B26" s="23">
        <v>13501.86</v>
      </c>
      <c r="C26" s="23">
        <v>3937.48000000001</v>
      </c>
      <c r="D26" s="23">
        <v>257.56</v>
      </c>
      <c r="E26" s="23">
        <v>0</v>
      </c>
      <c r="F26" s="23">
        <v>0</v>
      </c>
      <c r="G26" s="23">
        <v>0</v>
      </c>
      <c r="H26" s="23">
        <v>0</v>
      </c>
      <c r="I26" s="24">
        <f t="shared" si="0"/>
        <v>17696.9</v>
      </c>
    </row>
    <row r="27" spans="1:9">
      <c r="A27" t="s">
        <v>66</v>
      </c>
      <c r="B27" s="23">
        <v>0</v>
      </c>
      <c r="C27" s="23">
        <v>16401.5100000001</v>
      </c>
      <c r="D27" s="23">
        <v>2195.24</v>
      </c>
      <c r="E27" s="23">
        <v>0</v>
      </c>
      <c r="F27" s="23">
        <v>0</v>
      </c>
      <c r="G27" s="23">
        <v>0</v>
      </c>
      <c r="H27" s="23">
        <v>0</v>
      </c>
      <c r="I27" s="24">
        <f t="shared" si="0"/>
        <v>18596.7500000001</v>
      </c>
    </row>
    <row r="28" spans="1:9">
      <c r="A28" t="s">
        <v>69</v>
      </c>
      <c r="B28" s="23">
        <v>0</v>
      </c>
      <c r="C28" s="23">
        <v>12390.45</v>
      </c>
      <c r="D28" s="23">
        <v>4352.93</v>
      </c>
      <c r="E28" s="23">
        <v>20.11</v>
      </c>
      <c r="F28" s="23">
        <v>0</v>
      </c>
      <c r="G28" s="23">
        <v>0</v>
      </c>
      <c r="H28" s="23">
        <v>0</v>
      </c>
      <c r="I28" s="24">
        <f t="shared" si="0"/>
        <v>16763.49</v>
      </c>
    </row>
    <row r="29" spans="1:9">
      <c r="A29" t="s">
        <v>72</v>
      </c>
      <c r="B29" s="23">
        <v>18319.87</v>
      </c>
      <c r="C29" s="23">
        <v>30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4">
        <f t="shared" si="0"/>
        <v>18349.87</v>
      </c>
    </row>
    <row r="30" spans="1:9">
      <c r="A30" t="s">
        <v>75</v>
      </c>
      <c r="B30" s="23">
        <v>12751.47</v>
      </c>
      <c r="C30" s="23">
        <v>1830.3</v>
      </c>
      <c r="D30" s="23">
        <v>150.96</v>
      </c>
      <c r="E30" s="23">
        <v>0</v>
      </c>
      <c r="F30" s="23">
        <v>0</v>
      </c>
      <c r="G30" s="23">
        <v>0</v>
      </c>
      <c r="H30" s="23">
        <v>0</v>
      </c>
      <c r="I30" s="24">
        <f t="shared" si="0"/>
        <v>14732.73</v>
      </c>
    </row>
    <row r="31" spans="1:9">
      <c r="A31" t="s">
        <v>78</v>
      </c>
      <c r="B31" s="23">
        <v>11695.18</v>
      </c>
      <c r="C31" s="23">
        <v>3601.4</v>
      </c>
      <c r="D31" s="23">
        <v>286.26</v>
      </c>
      <c r="E31" s="23">
        <v>0</v>
      </c>
      <c r="F31" s="23">
        <v>0</v>
      </c>
      <c r="G31" s="23">
        <v>0</v>
      </c>
      <c r="H31" s="23">
        <v>0</v>
      </c>
      <c r="I31" s="24">
        <f t="shared" si="0"/>
        <v>15582.84</v>
      </c>
    </row>
    <row r="32" spans="1:9">
      <c r="A32" t="s">
        <v>79</v>
      </c>
      <c r="B32" s="23">
        <v>11192.41</v>
      </c>
      <c r="C32" s="23">
        <v>30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4">
        <f t="shared" si="0"/>
        <v>11222.41</v>
      </c>
    </row>
    <row r="33" spans="1:9">
      <c r="A33" t="s">
        <v>82</v>
      </c>
      <c r="B33" s="23">
        <v>0</v>
      </c>
      <c r="C33" s="23">
        <v>13278.76</v>
      </c>
      <c r="D33" s="23">
        <v>1225.76</v>
      </c>
      <c r="E33" s="23">
        <v>2751.55</v>
      </c>
      <c r="F33" s="23">
        <v>0</v>
      </c>
      <c r="G33" s="23">
        <v>0</v>
      </c>
      <c r="H33" s="23">
        <v>0</v>
      </c>
      <c r="I33" s="24">
        <f t="shared" si="0"/>
        <v>17256.07</v>
      </c>
    </row>
    <row r="34" spans="1:9">
      <c r="A34" t="s">
        <v>85</v>
      </c>
      <c r="B34" s="23">
        <v>16619.97</v>
      </c>
      <c r="C34" s="23">
        <v>3181.68</v>
      </c>
      <c r="D34" s="23">
        <v>737.12</v>
      </c>
      <c r="E34" s="23">
        <v>0</v>
      </c>
      <c r="F34" s="23">
        <v>0</v>
      </c>
      <c r="G34" s="23">
        <v>0</v>
      </c>
      <c r="H34" s="23">
        <v>0</v>
      </c>
      <c r="I34" s="24">
        <f t="shared" si="0"/>
        <v>20538.77</v>
      </c>
    </row>
    <row r="35" spans="1:9">
      <c r="A35" t="s">
        <v>88</v>
      </c>
      <c r="B35" s="23">
        <v>20627.32</v>
      </c>
      <c r="C35" s="23">
        <v>3037.64</v>
      </c>
      <c r="D35" s="23">
        <v>1147.82</v>
      </c>
      <c r="E35" s="23">
        <v>0</v>
      </c>
      <c r="F35" s="23">
        <v>0</v>
      </c>
      <c r="G35" s="23">
        <v>0</v>
      </c>
      <c r="H35" s="23">
        <v>0</v>
      </c>
      <c r="I35" s="24">
        <f t="shared" si="0"/>
        <v>24812.78</v>
      </c>
    </row>
    <row r="36" spans="1:9">
      <c r="A36" t="s">
        <v>91</v>
      </c>
      <c r="B36" s="23">
        <v>1816.96</v>
      </c>
      <c r="C36" s="23">
        <v>12990.8000000001</v>
      </c>
      <c r="D36" s="23">
        <v>4249.38</v>
      </c>
      <c r="E36" s="23">
        <v>0</v>
      </c>
      <c r="F36" s="23">
        <v>0</v>
      </c>
      <c r="G36" s="23">
        <v>0</v>
      </c>
      <c r="H36" s="23">
        <v>0</v>
      </c>
      <c r="I36" s="24">
        <f t="shared" si="0"/>
        <v>19057.1400000001</v>
      </c>
    </row>
    <row r="37" spans="1:9">
      <c r="A37" t="s">
        <v>94</v>
      </c>
      <c r="B37" s="23">
        <v>9567.85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4">
        <f t="shared" si="0"/>
        <v>9567.85</v>
      </c>
    </row>
    <row r="38" spans="1:9">
      <c r="A38" t="s">
        <v>97</v>
      </c>
      <c r="B38" s="23">
        <v>0</v>
      </c>
      <c r="C38" s="23">
        <v>13369.62</v>
      </c>
      <c r="D38" s="23">
        <v>3242.58</v>
      </c>
      <c r="E38" s="23">
        <v>3112.5</v>
      </c>
      <c r="F38" s="23">
        <v>0</v>
      </c>
      <c r="G38" s="23">
        <v>0</v>
      </c>
      <c r="H38" s="23">
        <v>0</v>
      </c>
      <c r="I38" s="24">
        <f t="shared" si="0"/>
        <v>19724.7</v>
      </c>
    </row>
    <row r="39" spans="1:9">
      <c r="A39" t="s">
        <v>98</v>
      </c>
      <c r="B39" s="23">
        <v>0</v>
      </c>
      <c r="C39" s="23">
        <v>5109.18000000002</v>
      </c>
      <c r="D39" s="23">
        <v>16534.56</v>
      </c>
      <c r="E39" s="23">
        <v>0</v>
      </c>
      <c r="F39" s="23">
        <v>0</v>
      </c>
      <c r="G39" s="23">
        <v>0</v>
      </c>
      <c r="H39" s="23">
        <v>0</v>
      </c>
      <c r="I39" s="24">
        <f t="shared" si="0"/>
        <v>21643.74</v>
      </c>
    </row>
    <row r="40" spans="1:9">
      <c r="A40" t="s">
        <v>101</v>
      </c>
      <c r="B40" s="23">
        <v>14615.78</v>
      </c>
      <c r="C40" s="23">
        <v>135.01</v>
      </c>
      <c r="D40" s="23">
        <v>120.32</v>
      </c>
      <c r="E40" s="23">
        <v>0</v>
      </c>
      <c r="F40" s="23">
        <v>0</v>
      </c>
      <c r="G40" s="23">
        <v>0</v>
      </c>
      <c r="H40" s="23">
        <v>0</v>
      </c>
      <c r="I40" s="24">
        <f t="shared" si="0"/>
        <v>14871.11</v>
      </c>
    </row>
    <row r="41" spans="1:9">
      <c r="A41" t="s">
        <v>104</v>
      </c>
      <c r="B41" s="23">
        <v>9050.8</v>
      </c>
      <c r="C41" s="23">
        <v>14.99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4">
        <f t="shared" si="0"/>
        <v>9065.79</v>
      </c>
    </row>
    <row r="42" spans="1:9">
      <c r="A42" t="s">
        <v>107</v>
      </c>
      <c r="B42" s="23">
        <v>0</v>
      </c>
      <c r="C42" s="23">
        <v>920.29</v>
      </c>
      <c r="D42" s="23">
        <v>287.7</v>
      </c>
      <c r="E42" s="23">
        <v>15299.61</v>
      </c>
      <c r="F42" s="23">
        <v>0</v>
      </c>
      <c r="G42" s="23">
        <v>0</v>
      </c>
      <c r="H42" s="23">
        <v>0</v>
      </c>
      <c r="I42" s="24">
        <f t="shared" si="0"/>
        <v>16507.6</v>
      </c>
    </row>
    <row r="43" spans="1:9">
      <c r="A43" t="s">
        <v>110</v>
      </c>
      <c r="B43" s="23">
        <v>16519.24</v>
      </c>
      <c r="C43" s="23">
        <v>105.02</v>
      </c>
      <c r="D43" s="23">
        <v>44.96</v>
      </c>
      <c r="E43" s="23">
        <v>0</v>
      </c>
      <c r="F43" s="23">
        <v>0</v>
      </c>
      <c r="G43" s="23">
        <v>0</v>
      </c>
      <c r="H43" s="23">
        <v>0</v>
      </c>
      <c r="I43" s="24">
        <f t="shared" si="0"/>
        <v>16669.22</v>
      </c>
    </row>
    <row r="44" spans="1:9">
      <c r="A44" t="s">
        <v>113</v>
      </c>
      <c r="B44" s="23">
        <v>0</v>
      </c>
      <c r="C44" s="23">
        <v>3408.19000000001</v>
      </c>
      <c r="D44" s="23">
        <v>11597.64</v>
      </c>
      <c r="E44" s="23">
        <v>0</v>
      </c>
      <c r="F44" s="23">
        <v>0</v>
      </c>
      <c r="G44" s="23">
        <v>0</v>
      </c>
      <c r="H44" s="23">
        <v>0</v>
      </c>
      <c r="I44" s="24">
        <f t="shared" si="0"/>
        <v>15005.83</v>
      </c>
    </row>
    <row r="45" spans="1:9">
      <c r="A45" t="s">
        <v>116</v>
      </c>
      <c r="B45" s="23">
        <v>11182.91</v>
      </c>
      <c r="C45" s="23">
        <v>29.94</v>
      </c>
      <c r="D45" s="23">
        <v>15.04</v>
      </c>
      <c r="E45" s="23">
        <v>0</v>
      </c>
      <c r="F45" s="23">
        <v>0</v>
      </c>
      <c r="G45" s="23">
        <v>0</v>
      </c>
      <c r="H45" s="23">
        <v>0</v>
      </c>
      <c r="I45" s="24">
        <f t="shared" si="0"/>
        <v>11227.89</v>
      </c>
    </row>
    <row r="46" spans="1:9">
      <c r="A46" t="s">
        <v>119</v>
      </c>
      <c r="B46" s="23">
        <v>12123.28</v>
      </c>
      <c r="C46" s="23">
        <v>1110.38</v>
      </c>
      <c r="D46" s="23">
        <v>436.74</v>
      </c>
      <c r="E46" s="23">
        <v>0</v>
      </c>
      <c r="F46" s="23">
        <v>0</v>
      </c>
      <c r="G46" s="23">
        <v>0</v>
      </c>
      <c r="H46" s="23">
        <v>0</v>
      </c>
      <c r="I46" s="24">
        <f t="shared" si="0"/>
        <v>13670.4</v>
      </c>
    </row>
    <row r="47" spans="1:9">
      <c r="A47" t="s">
        <v>122</v>
      </c>
      <c r="B47" s="23">
        <v>8676.79199999999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4">
        <f t="shared" si="0"/>
        <v>8676.79199999999</v>
      </c>
    </row>
    <row r="48" spans="1:9">
      <c r="A48" t="s">
        <v>125</v>
      </c>
      <c r="B48" s="23">
        <v>6728.341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4">
        <f t="shared" si="0"/>
        <v>6728.341</v>
      </c>
    </row>
    <row r="49" spans="1:9">
      <c r="A49" t="s">
        <v>126</v>
      </c>
      <c r="B49" s="23">
        <v>13298.93</v>
      </c>
      <c r="C49" s="23">
        <v>143.03</v>
      </c>
      <c r="D49" s="23">
        <v>61.68</v>
      </c>
      <c r="E49" s="23">
        <v>0</v>
      </c>
      <c r="F49" s="23">
        <v>0</v>
      </c>
      <c r="G49" s="23">
        <v>0</v>
      </c>
      <c r="H49" s="23">
        <v>0</v>
      </c>
      <c r="I49" s="24">
        <f t="shared" si="0"/>
        <v>13503.64</v>
      </c>
    </row>
    <row r="50" spans="1:9">
      <c r="A50" t="s">
        <v>129</v>
      </c>
      <c r="B50" s="23">
        <v>7645.68</v>
      </c>
      <c r="C50" s="23">
        <v>15.01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4">
        <f t="shared" si="0"/>
        <v>7660.69</v>
      </c>
    </row>
    <row r="51" spans="1:9">
      <c r="A51" t="s">
        <v>132</v>
      </c>
      <c r="B51" s="23">
        <v>7899.14000000001</v>
      </c>
      <c r="C51" s="23">
        <v>15.01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4">
        <f t="shared" si="0"/>
        <v>7914.15000000001</v>
      </c>
    </row>
    <row r="52" spans="1:9">
      <c r="A52" t="s">
        <v>135</v>
      </c>
      <c r="B52" s="23">
        <v>0</v>
      </c>
      <c r="C52" s="23">
        <v>6457.89000000002</v>
      </c>
      <c r="D52" s="23">
        <v>17268.04</v>
      </c>
      <c r="E52" s="23">
        <v>0</v>
      </c>
      <c r="F52" s="23">
        <v>0</v>
      </c>
      <c r="G52" s="23">
        <v>0</v>
      </c>
      <c r="H52" s="23">
        <v>0</v>
      </c>
      <c r="I52" s="24">
        <f t="shared" si="0"/>
        <v>23725.9300000001</v>
      </c>
    </row>
    <row r="53" spans="1:9">
      <c r="A53" t="s">
        <v>138</v>
      </c>
      <c r="B53" s="23">
        <v>0</v>
      </c>
      <c r="C53" s="23">
        <v>14675.3100000001</v>
      </c>
      <c r="D53" s="23">
        <v>1497.82</v>
      </c>
      <c r="E53" s="23">
        <v>0</v>
      </c>
      <c r="F53" s="23">
        <v>0</v>
      </c>
      <c r="G53" s="23">
        <v>0</v>
      </c>
      <c r="H53" s="23">
        <v>0</v>
      </c>
      <c r="I53" s="24">
        <f t="shared" si="0"/>
        <v>16173.1300000001</v>
      </c>
    </row>
    <row r="54" spans="1:9">
      <c r="A54" t="s">
        <v>141</v>
      </c>
      <c r="B54" s="23">
        <v>12722.16</v>
      </c>
      <c r="C54" s="23">
        <v>50.01</v>
      </c>
      <c r="D54" s="23">
        <v>24.84</v>
      </c>
      <c r="E54" s="23">
        <v>0</v>
      </c>
      <c r="F54" s="23">
        <v>0</v>
      </c>
      <c r="G54" s="23">
        <v>0</v>
      </c>
      <c r="H54" s="23">
        <v>0</v>
      </c>
      <c r="I54" s="24">
        <f t="shared" si="0"/>
        <v>12797.01</v>
      </c>
    </row>
    <row r="55" spans="1:9">
      <c r="A55" t="s">
        <v>144</v>
      </c>
      <c r="B55" s="23">
        <v>9982.75</v>
      </c>
      <c r="C55" s="23">
        <v>13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4">
        <f t="shared" si="0"/>
        <v>9995.75</v>
      </c>
    </row>
    <row r="56" spans="1:9">
      <c r="A56" t="s">
        <v>147</v>
      </c>
      <c r="B56" s="23">
        <v>0</v>
      </c>
      <c r="C56" s="23">
        <v>3181.49</v>
      </c>
      <c r="D56" s="23">
        <v>12505.18</v>
      </c>
      <c r="E56" s="23">
        <v>0</v>
      </c>
      <c r="F56" s="23">
        <v>0</v>
      </c>
      <c r="G56" s="23">
        <v>0</v>
      </c>
      <c r="H56" s="23">
        <v>0</v>
      </c>
      <c r="I56" s="24">
        <f t="shared" si="0"/>
        <v>15686.67</v>
      </c>
    </row>
    <row r="57" spans="1:9">
      <c r="A57" t="s">
        <v>150</v>
      </c>
      <c r="B57" s="23">
        <v>11373.37</v>
      </c>
      <c r="C57" s="23">
        <v>2536.6</v>
      </c>
      <c r="D57" s="23">
        <v>709.64</v>
      </c>
      <c r="E57" s="23">
        <v>0</v>
      </c>
      <c r="F57" s="23">
        <v>0</v>
      </c>
      <c r="G57" s="23">
        <v>0</v>
      </c>
      <c r="H57" s="23">
        <v>0</v>
      </c>
      <c r="I57" s="24">
        <f t="shared" si="0"/>
        <v>14619.61</v>
      </c>
    </row>
    <row r="58" spans="1:9">
      <c r="A58" t="s">
        <v>153</v>
      </c>
      <c r="B58" s="23">
        <v>0</v>
      </c>
      <c r="C58" s="23">
        <v>620.1</v>
      </c>
      <c r="D58" s="23">
        <v>241.04</v>
      </c>
      <c r="E58" s="23">
        <v>8323.93</v>
      </c>
      <c r="F58" s="23">
        <v>0</v>
      </c>
      <c r="G58" s="23">
        <v>0</v>
      </c>
      <c r="H58" s="23">
        <v>0</v>
      </c>
      <c r="I58" s="24">
        <f t="shared" si="0"/>
        <v>9185.07</v>
      </c>
    </row>
    <row r="59" spans="1:9">
      <c r="A59" t="s">
        <v>156</v>
      </c>
      <c r="B59" s="23">
        <v>13112.12</v>
      </c>
      <c r="C59" s="23">
        <v>29.96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4">
        <f t="shared" si="0"/>
        <v>13142.08</v>
      </c>
    </row>
    <row r="60" spans="1:9">
      <c r="A60" t="s">
        <v>159</v>
      </c>
      <c r="B60" s="23">
        <v>11926.1</v>
      </c>
      <c r="C60" s="23">
        <v>58.07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4">
        <f t="shared" si="0"/>
        <v>11984.17</v>
      </c>
    </row>
    <row r="61" spans="1:9">
      <c r="A61" t="s">
        <v>162</v>
      </c>
      <c r="B61" s="23">
        <v>0</v>
      </c>
      <c r="C61" s="23">
        <v>645.37</v>
      </c>
      <c r="D61" s="23">
        <v>887.58</v>
      </c>
      <c r="E61" s="23">
        <v>9880.20000000001</v>
      </c>
      <c r="F61" s="23">
        <v>0</v>
      </c>
      <c r="G61" s="23">
        <v>0</v>
      </c>
      <c r="H61" s="23">
        <v>0</v>
      </c>
      <c r="I61" s="24">
        <f t="shared" si="0"/>
        <v>11413.15</v>
      </c>
    </row>
    <row r="62" spans="1:9">
      <c r="A62" t="s">
        <v>165</v>
      </c>
      <c r="B62" s="23">
        <v>14094.74</v>
      </c>
      <c r="C62" s="23">
        <v>59.94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4">
        <f t="shared" si="0"/>
        <v>14154.68</v>
      </c>
    </row>
    <row r="63" spans="1:9">
      <c r="A63" t="s">
        <v>168</v>
      </c>
      <c r="B63" s="23">
        <v>19877.79</v>
      </c>
      <c r="C63" s="23">
        <v>59.97</v>
      </c>
      <c r="D63" s="23">
        <v>30.16</v>
      </c>
      <c r="E63" s="23">
        <v>0</v>
      </c>
      <c r="F63" s="23">
        <v>0</v>
      </c>
      <c r="G63" s="23">
        <v>0</v>
      </c>
      <c r="H63" s="23">
        <v>0</v>
      </c>
      <c r="I63" s="24">
        <f t="shared" si="0"/>
        <v>19967.92</v>
      </c>
    </row>
    <row r="64" spans="1:9">
      <c r="A64" t="s">
        <v>171</v>
      </c>
      <c r="B64" s="23">
        <v>11173.92</v>
      </c>
      <c r="C64" s="23">
        <v>14.96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4">
        <f t="shared" si="0"/>
        <v>11188.88</v>
      </c>
    </row>
    <row r="65" spans="1:9">
      <c r="A65" t="s">
        <v>174</v>
      </c>
      <c r="B65" s="23">
        <v>0</v>
      </c>
      <c r="C65" s="23">
        <v>104.96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4">
        <f t="shared" si="0"/>
        <v>104.96</v>
      </c>
    </row>
    <row r="66" spans="1:9">
      <c r="A66" t="s">
        <v>177</v>
      </c>
      <c r="B66" s="23">
        <v>11727.04</v>
      </c>
      <c r="C66" s="23">
        <v>14.97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4">
        <f t="shared" si="0"/>
        <v>11742.01</v>
      </c>
    </row>
    <row r="67" spans="1:9">
      <c r="A67" t="s">
        <v>180</v>
      </c>
      <c r="B67" s="23">
        <v>9040.99</v>
      </c>
      <c r="C67" s="23">
        <v>29.98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4">
        <f t="shared" si="0"/>
        <v>9070.97</v>
      </c>
    </row>
    <row r="68" spans="1:9">
      <c r="A68" t="s">
        <v>183</v>
      </c>
      <c r="B68" s="23">
        <v>0</v>
      </c>
      <c r="C68" s="23">
        <v>4137.35000000001</v>
      </c>
      <c r="D68" s="23">
        <v>365.3</v>
      </c>
      <c r="E68" s="23">
        <v>0</v>
      </c>
      <c r="F68" s="23">
        <v>0</v>
      </c>
      <c r="G68" s="23">
        <v>0</v>
      </c>
      <c r="H68" s="23">
        <v>0</v>
      </c>
      <c r="I68" s="24">
        <f t="shared" si="0"/>
        <v>4502.65000000001</v>
      </c>
    </row>
    <row r="69" spans="1:9">
      <c r="A69" t="s">
        <v>186</v>
      </c>
      <c r="B69" s="23">
        <v>0</v>
      </c>
      <c r="C69" s="23">
        <v>2895.5</v>
      </c>
      <c r="D69" s="23">
        <v>964.1</v>
      </c>
      <c r="E69" s="23">
        <v>0</v>
      </c>
      <c r="F69" s="23">
        <v>0</v>
      </c>
      <c r="G69" s="23">
        <v>0</v>
      </c>
      <c r="H69" s="23">
        <v>0</v>
      </c>
      <c r="I69" s="24">
        <f t="shared" ref="I69:I132" si="1">SUM(B69:H69)</f>
        <v>3859.6</v>
      </c>
    </row>
    <row r="70" spans="1:9">
      <c r="A70" t="s">
        <v>189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4">
        <f t="shared" si="1"/>
        <v>0</v>
      </c>
    </row>
    <row r="71" spans="1:9">
      <c r="A71" t="s">
        <v>192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4">
        <f t="shared" si="1"/>
        <v>0</v>
      </c>
    </row>
    <row r="72" spans="1:9">
      <c r="A72" t="s">
        <v>195</v>
      </c>
      <c r="B72" s="23">
        <v>0</v>
      </c>
      <c r="C72" s="23">
        <v>119.95</v>
      </c>
      <c r="D72" s="23">
        <v>89.6</v>
      </c>
      <c r="E72" s="23">
        <v>4159.57</v>
      </c>
      <c r="F72" s="23">
        <v>0</v>
      </c>
      <c r="G72" s="23">
        <v>0</v>
      </c>
      <c r="H72" s="23">
        <v>0</v>
      </c>
      <c r="I72" s="24">
        <f t="shared" si="1"/>
        <v>4369.12</v>
      </c>
    </row>
    <row r="73" spans="1:9">
      <c r="A73" t="s">
        <v>198</v>
      </c>
      <c r="B73" s="23">
        <v>0</v>
      </c>
      <c r="C73" s="23">
        <v>10397.2000000001</v>
      </c>
      <c r="D73" s="23">
        <v>3189.26</v>
      </c>
      <c r="E73" s="23">
        <v>0</v>
      </c>
      <c r="F73" s="23">
        <v>0</v>
      </c>
      <c r="G73" s="23">
        <v>0</v>
      </c>
      <c r="H73" s="23">
        <v>0</v>
      </c>
      <c r="I73" s="24">
        <f t="shared" si="1"/>
        <v>13586.4600000001</v>
      </c>
    </row>
    <row r="74" spans="1:9">
      <c r="A74" t="s">
        <v>201</v>
      </c>
      <c r="B74" s="23">
        <v>0</v>
      </c>
      <c r="C74" s="23">
        <v>300.39</v>
      </c>
      <c r="D74" s="23">
        <v>50.2</v>
      </c>
      <c r="E74" s="23">
        <v>12526.99</v>
      </c>
      <c r="F74" s="23">
        <v>0</v>
      </c>
      <c r="G74" s="23">
        <v>25.1</v>
      </c>
      <c r="H74" s="23">
        <v>0</v>
      </c>
      <c r="I74" s="24">
        <f t="shared" si="1"/>
        <v>12902.68</v>
      </c>
    </row>
    <row r="75" spans="1:9">
      <c r="A75" t="s">
        <v>204</v>
      </c>
      <c r="B75" s="23">
        <v>0</v>
      </c>
      <c r="C75" s="23">
        <v>10885.4300000001</v>
      </c>
      <c r="D75" s="23">
        <v>2495.4</v>
      </c>
      <c r="E75" s="23">
        <v>0</v>
      </c>
      <c r="F75" s="23">
        <v>0</v>
      </c>
      <c r="G75" s="23">
        <v>0</v>
      </c>
      <c r="H75" s="23">
        <v>0</v>
      </c>
      <c r="I75" s="24">
        <f t="shared" si="1"/>
        <v>13380.8300000001</v>
      </c>
    </row>
    <row r="76" spans="1:9">
      <c r="A76" t="s">
        <v>207</v>
      </c>
      <c r="B76" s="23">
        <v>0</v>
      </c>
      <c r="C76" s="23">
        <v>1460.72</v>
      </c>
      <c r="D76" s="23">
        <v>8396.42000000003</v>
      </c>
      <c r="E76" s="23">
        <v>30.01</v>
      </c>
      <c r="F76" s="23">
        <v>0</v>
      </c>
      <c r="G76" s="23">
        <v>0</v>
      </c>
      <c r="H76" s="23">
        <v>0</v>
      </c>
      <c r="I76" s="24">
        <f t="shared" si="1"/>
        <v>9887.15000000003</v>
      </c>
    </row>
    <row r="77" spans="1:9">
      <c r="A77" t="s">
        <v>210</v>
      </c>
      <c r="B77" s="23">
        <v>0</v>
      </c>
      <c r="C77" s="23">
        <v>660.05</v>
      </c>
      <c r="D77" s="23">
        <v>120.68</v>
      </c>
      <c r="E77" s="23">
        <v>0</v>
      </c>
      <c r="F77" s="23">
        <v>0</v>
      </c>
      <c r="G77" s="23">
        <v>0</v>
      </c>
      <c r="H77" s="23">
        <v>0</v>
      </c>
      <c r="I77" s="24">
        <f t="shared" si="1"/>
        <v>780.73</v>
      </c>
    </row>
    <row r="78" spans="1:9">
      <c r="A78" t="s">
        <v>213</v>
      </c>
      <c r="B78" s="23">
        <v>0</v>
      </c>
      <c r="C78" s="23">
        <v>11628.29</v>
      </c>
      <c r="D78" s="23">
        <v>2512.24</v>
      </c>
      <c r="E78" s="23">
        <v>45.01</v>
      </c>
      <c r="F78" s="23">
        <v>0</v>
      </c>
      <c r="G78" s="23">
        <v>0</v>
      </c>
      <c r="H78" s="23">
        <v>0</v>
      </c>
      <c r="I78" s="24">
        <f t="shared" si="1"/>
        <v>14185.54</v>
      </c>
    </row>
    <row r="79" spans="1:9">
      <c r="A79" t="s">
        <v>216</v>
      </c>
      <c r="B79" s="23">
        <v>0</v>
      </c>
      <c r="C79" s="23">
        <v>12305.05</v>
      </c>
      <c r="D79" s="23">
        <v>2599.64</v>
      </c>
      <c r="E79" s="23">
        <v>0</v>
      </c>
      <c r="F79" s="23">
        <v>0</v>
      </c>
      <c r="G79" s="23">
        <v>0</v>
      </c>
      <c r="H79" s="23">
        <v>0</v>
      </c>
      <c r="I79" s="24">
        <f t="shared" si="1"/>
        <v>14904.69</v>
      </c>
    </row>
    <row r="80" spans="1:9">
      <c r="A80" t="s">
        <v>217</v>
      </c>
      <c r="B80" s="23">
        <v>0</v>
      </c>
      <c r="C80" s="23">
        <v>606.47</v>
      </c>
      <c r="D80" s="23">
        <v>181.88</v>
      </c>
      <c r="E80" s="23">
        <v>12346.39</v>
      </c>
      <c r="F80" s="23">
        <v>0</v>
      </c>
      <c r="G80" s="23">
        <v>45.69</v>
      </c>
      <c r="H80" s="23">
        <v>0</v>
      </c>
      <c r="I80" s="24">
        <f t="shared" si="1"/>
        <v>13180.43</v>
      </c>
    </row>
    <row r="81" spans="1:9">
      <c r="A81" t="s">
        <v>220</v>
      </c>
      <c r="B81" s="23">
        <v>0</v>
      </c>
      <c r="C81" s="23">
        <v>623.63</v>
      </c>
      <c r="D81" s="23">
        <v>7132.60000000001</v>
      </c>
      <c r="E81" s="23">
        <v>0</v>
      </c>
      <c r="F81" s="23">
        <v>0</v>
      </c>
      <c r="G81" s="23">
        <v>0</v>
      </c>
      <c r="H81" s="23">
        <v>0</v>
      </c>
      <c r="I81" s="24">
        <f t="shared" si="1"/>
        <v>7756.23000000001</v>
      </c>
    </row>
    <row r="82" spans="1:9">
      <c r="A82" t="s">
        <v>223</v>
      </c>
      <c r="B82" s="23">
        <v>0</v>
      </c>
      <c r="C82" s="23">
        <v>3582.37</v>
      </c>
      <c r="D82" s="23">
        <v>9620.44000000002</v>
      </c>
      <c r="E82" s="23">
        <v>15.06</v>
      </c>
      <c r="F82" s="23">
        <v>0</v>
      </c>
      <c r="G82" s="23">
        <v>0</v>
      </c>
      <c r="H82" s="23">
        <v>0</v>
      </c>
      <c r="I82" s="24">
        <f t="shared" si="1"/>
        <v>13217.87</v>
      </c>
    </row>
    <row r="83" spans="1:9">
      <c r="A83" t="s">
        <v>226</v>
      </c>
      <c r="B83" s="23">
        <v>25.11</v>
      </c>
      <c r="C83" s="23">
        <v>123.18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4">
        <f t="shared" si="1"/>
        <v>148.29</v>
      </c>
    </row>
    <row r="84" spans="1:9">
      <c r="A84" t="s">
        <v>227</v>
      </c>
      <c r="B84" s="23">
        <v>0</v>
      </c>
      <c r="C84" s="23">
        <v>6376.06</v>
      </c>
      <c r="D84" s="23">
        <v>1605.86</v>
      </c>
      <c r="E84" s="23">
        <v>15.08</v>
      </c>
      <c r="F84" s="23">
        <v>0</v>
      </c>
      <c r="G84" s="23">
        <v>0</v>
      </c>
      <c r="H84" s="23">
        <v>0</v>
      </c>
      <c r="I84" s="24">
        <f t="shared" si="1"/>
        <v>7997</v>
      </c>
    </row>
    <row r="85" spans="1:9">
      <c r="A85" t="s">
        <v>230</v>
      </c>
      <c r="B85" s="23">
        <v>0</v>
      </c>
      <c r="C85" s="23">
        <v>8521.67000000001</v>
      </c>
      <c r="D85" s="23">
        <v>5632.4</v>
      </c>
      <c r="E85" s="23">
        <v>0</v>
      </c>
      <c r="F85" s="23">
        <v>0</v>
      </c>
      <c r="G85" s="23">
        <v>0</v>
      </c>
      <c r="H85" s="23">
        <v>0</v>
      </c>
      <c r="I85" s="24">
        <f t="shared" si="1"/>
        <v>14154.07</v>
      </c>
    </row>
    <row r="86" spans="1:9">
      <c r="A86" t="s">
        <v>231</v>
      </c>
      <c r="B86" s="23">
        <v>0</v>
      </c>
      <c r="C86" s="23">
        <v>10596.56</v>
      </c>
      <c r="D86" s="23">
        <v>1344.28</v>
      </c>
      <c r="E86" s="23">
        <v>0</v>
      </c>
      <c r="F86" s="23">
        <v>0</v>
      </c>
      <c r="G86" s="23">
        <v>0</v>
      </c>
      <c r="H86" s="23">
        <v>0</v>
      </c>
      <c r="I86" s="24">
        <f t="shared" si="1"/>
        <v>11940.84</v>
      </c>
    </row>
    <row r="87" spans="1:9">
      <c r="A87" t="s">
        <v>234</v>
      </c>
      <c r="B87" s="23">
        <v>0</v>
      </c>
      <c r="C87" s="23">
        <v>750.28</v>
      </c>
      <c r="D87" s="23">
        <v>90</v>
      </c>
      <c r="E87" s="23">
        <v>11674.13</v>
      </c>
      <c r="F87" s="23">
        <v>0</v>
      </c>
      <c r="G87" s="23">
        <v>45.17</v>
      </c>
      <c r="H87" s="23">
        <v>0</v>
      </c>
      <c r="I87" s="24">
        <f t="shared" si="1"/>
        <v>12559.58</v>
      </c>
    </row>
    <row r="88" spans="1:9">
      <c r="A88" t="s">
        <v>237</v>
      </c>
      <c r="B88" s="23">
        <v>0</v>
      </c>
      <c r="C88" s="23">
        <v>1654.98</v>
      </c>
      <c r="D88" s="23">
        <v>12544.92</v>
      </c>
      <c r="E88" s="23">
        <v>135.34</v>
      </c>
      <c r="F88" s="23">
        <v>0</v>
      </c>
      <c r="G88" s="23">
        <v>0</v>
      </c>
      <c r="H88" s="23">
        <v>0</v>
      </c>
      <c r="I88" s="24">
        <f t="shared" si="1"/>
        <v>14335.24</v>
      </c>
    </row>
    <row r="89" spans="1:9">
      <c r="A89" t="s">
        <v>240</v>
      </c>
      <c r="B89" s="23">
        <v>0</v>
      </c>
      <c r="C89" s="23">
        <v>11723.8700000001</v>
      </c>
      <c r="D89" s="23">
        <v>3320.44</v>
      </c>
      <c r="E89" s="23">
        <v>0</v>
      </c>
      <c r="F89" s="23">
        <v>0</v>
      </c>
      <c r="G89" s="23">
        <v>0</v>
      </c>
      <c r="H89" s="23">
        <v>0</v>
      </c>
      <c r="I89" s="24">
        <f t="shared" si="1"/>
        <v>15044.3100000001</v>
      </c>
    </row>
    <row r="90" spans="1:9">
      <c r="A90" t="s">
        <v>243</v>
      </c>
      <c r="B90" s="23">
        <v>0</v>
      </c>
      <c r="C90" s="23">
        <v>270.02</v>
      </c>
      <c r="D90" s="23">
        <v>285.54</v>
      </c>
      <c r="E90" s="23">
        <v>10074.08</v>
      </c>
      <c r="F90" s="23">
        <v>0</v>
      </c>
      <c r="G90" s="23">
        <v>195.02</v>
      </c>
      <c r="H90" s="23">
        <v>0</v>
      </c>
      <c r="I90" s="24">
        <f t="shared" si="1"/>
        <v>10824.66</v>
      </c>
    </row>
    <row r="91" spans="1:9">
      <c r="A91" t="s">
        <v>244</v>
      </c>
      <c r="B91" s="23">
        <v>0</v>
      </c>
      <c r="C91" s="23">
        <v>250.2</v>
      </c>
      <c r="D91" s="23">
        <v>1168.46</v>
      </c>
      <c r="E91" s="23">
        <v>11095.21</v>
      </c>
      <c r="F91" s="23">
        <v>0</v>
      </c>
      <c r="G91" s="23">
        <v>0</v>
      </c>
      <c r="H91" s="23">
        <v>0</v>
      </c>
      <c r="I91" s="24">
        <f t="shared" si="1"/>
        <v>12513.87</v>
      </c>
    </row>
    <row r="92" spans="1:9">
      <c r="A92" t="s">
        <v>247</v>
      </c>
      <c r="B92" s="23">
        <v>0</v>
      </c>
      <c r="C92" s="23">
        <v>9875.75000000005</v>
      </c>
      <c r="D92" s="23">
        <v>1366.84</v>
      </c>
      <c r="E92" s="23">
        <v>0</v>
      </c>
      <c r="F92" s="23">
        <v>0</v>
      </c>
      <c r="G92" s="23">
        <v>0</v>
      </c>
      <c r="H92" s="23">
        <v>0</v>
      </c>
      <c r="I92" s="24">
        <f t="shared" si="1"/>
        <v>11242.5900000001</v>
      </c>
    </row>
    <row r="93" spans="1:9">
      <c r="A93" t="s">
        <v>250</v>
      </c>
      <c r="B93" s="23">
        <v>0</v>
      </c>
      <c r="C93" s="23">
        <v>690.46</v>
      </c>
      <c r="D93" s="23">
        <v>565.4</v>
      </c>
      <c r="E93" s="23">
        <v>13455.79</v>
      </c>
      <c r="F93" s="23">
        <v>0</v>
      </c>
      <c r="G93" s="23">
        <v>15.05</v>
      </c>
      <c r="H93" s="23">
        <v>0</v>
      </c>
      <c r="I93" s="24">
        <f t="shared" si="1"/>
        <v>14726.7</v>
      </c>
    </row>
    <row r="94" spans="1:9">
      <c r="A94" t="s">
        <v>253</v>
      </c>
      <c r="B94" s="23">
        <v>0</v>
      </c>
      <c r="C94" s="23">
        <v>615.29</v>
      </c>
      <c r="D94" s="23">
        <v>151</v>
      </c>
      <c r="E94" s="23">
        <v>9519.34000000001</v>
      </c>
      <c r="F94" s="23">
        <v>0</v>
      </c>
      <c r="G94" s="23">
        <v>30.06</v>
      </c>
      <c r="H94" s="23">
        <v>0</v>
      </c>
      <c r="I94" s="24">
        <f t="shared" si="1"/>
        <v>10315.69</v>
      </c>
    </row>
    <row r="95" spans="1:9">
      <c r="A95" t="s">
        <v>256</v>
      </c>
      <c r="B95" s="23">
        <v>0</v>
      </c>
      <c r="C95" s="23">
        <v>1121.53</v>
      </c>
      <c r="D95" s="23">
        <v>4068.77999999999</v>
      </c>
      <c r="E95" s="23">
        <v>14.97</v>
      </c>
      <c r="F95" s="23">
        <v>0</v>
      </c>
      <c r="G95" s="23">
        <v>0</v>
      </c>
      <c r="H95" s="23">
        <v>0</v>
      </c>
      <c r="I95" s="24">
        <f t="shared" si="1"/>
        <v>5205.27999999999</v>
      </c>
    </row>
    <row r="96" spans="1:9">
      <c r="A96" t="s">
        <v>259</v>
      </c>
      <c r="B96" s="23">
        <v>0</v>
      </c>
      <c r="C96" s="23">
        <v>9470.42000000004</v>
      </c>
      <c r="D96" s="23">
        <v>1053.98</v>
      </c>
      <c r="E96" s="23">
        <v>2587.87</v>
      </c>
      <c r="F96" s="23">
        <v>0</v>
      </c>
      <c r="G96" s="23">
        <v>0</v>
      </c>
      <c r="H96" s="23">
        <v>0</v>
      </c>
      <c r="I96" s="24">
        <f t="shared" si="1"/>
        <v>13112.27</v>
      </c>
    </row>
    <row r="97" spans="1:9">
      <c r="A97" t="s">
        <v>262</v>
      </c>
      <c r="B97" s="23">
        <v>0</v>
      </c>
      <c r="C97" s="23">
        <v>2115.71</v>
      </c>
      <c r="D97" s="23">
        <v>5519.1</v>
      </c>
      <c r="E97" s="23">
        <v>0</v>
      </c>
      <c r="F97" s="23">
        <v>0</v>
      </c>
      <c r="G97" s="23">
        <v>0</v>
      </c>
      <c r="H97" s="23">
        <v>0</v>
      </c>
      <c r="I97" s="24">
        <f t="shared" si="1"/>
        <v>7634.81</v>
      </c>
    </row>
    <row r="98" spans="1:9">
      <c r="A98" t="s">
        <v>265</v>
      </c>
      <c r="B98" s="23">
        <v>0</v>
      </c>
      <c r="C98" s="23">
        <v>150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4">
        <f t="shared" si="1"/>
        <v>150</v>
      </c>
    </row>
    <row r="99" spans="1:9">
      <c r="A99" t="s">
        <v>268</v>
      </c>
      <c r="B99" s="23">
        <v>14.8</v>
      </c>
      <c r="C99" s="23">
        <v>503.34</v>
      </c>
      <c r="D99" s="23">
        <v>3499.6</v>
      </c>
      <c r="E99" s="23">
        <v>0</v>
      </c>
      <c r="F99" s="23">
        <v>0</v>
      </c>
      <c r="G99" s="23">
        <v>0</v>
      </c>
      <c r="H99" s="23">
        <v>0</v>
      </c>
      <c r="I99" s="24">
        <f t="shared" si="1"/>
        <v>4017.74</v>
      </c>
    </row>
    <row r="100" spans="1:9">
      <c r="A100" t="s">
        <v>271</v>
      </c>
      <c r="B100" s="23">
        <v>0</v>
      </c>
      <c r="C100" s="23">
        <v>240.04</v>
      </c>
      <c r="D100" s="23">
        <v>135</v>
      </c>
      <c r="E100" s="23">
        <v>6789.6</v>
      </c>
      <c r="F100" s="23">
        <v>0</v>
      </c>
      <c r="G100" s="23">
        <v>0</v>
      </c>
      <c r="H100" s="23">
        <v>0</v>
      </c>
      <c r="I100" s="24">
        <f t="shared" si="1"/>
        <v>7164.64</v>
      </c>
    </row>
    <row r="101" spans="1:9">
      <c r="A101" t="s">
        <v>274</v>
      </c>
      <c r="B101" s="23">
        <v>0</v>
      </c>
      <c r="C101" s="23">
        <v>841.56</v>
      </c>
      <c r="D101" s="23">
        <v>9369.08000000003</v>
      </c>
      <c r="E101" s="23">
        <v>15.06</v>
      </c>
      <c r="F101" s="23">
        <v>0</v>
      </c>
      <c r="G101" s="23">
        <v>0</v>
      </c>
      <c r="H101" s="23">
        <v>0</v>
      </c>
      <c r="I101" s="24">
        <f t="shared" si="1"/>
        <v>10225.7</v>
      </c>
    </row>
    <row r="102" spans="1:9">
      <c r="A102" t="s">
        <v>277</v>
      </c>
      <c r="B102" s="23">
        <v>0</v>
      </c>
      <c r="C102" s="23">
        <v>210.05</v>
      </c>
      <c r="D102" s="23">
        <v>60.12</v>
      </c>
      <c r="E102" s="23">
        <v>8280.9</v>
      </c>
      <c r="F102" s="23">
        <v>0</v>
      </c>
      <c r="G102" s="23">
        <v>0</v>
      </c>
      <c r="H102" s="23">
        <v>0</v>
      </c>
      <c r="I102" s="24">
        <f t="shared" si="1"/>
        <v>8551.07</v>
      </c>
    </row>
    <row r="103" spans="1:9">
      <c r="A103" t="s">
        <v>280</v>
      </c>
      <c r="B103" s="23">
        <v>0</v>
      </c>
      <c r="C103" s="23">
        <v>942.79</v>
      </c>
      <c r="D103" s="23">
        <v>4671.58</v>
      </c>
      <c r="E103" s="23">
        <v>0</v>
      </c>
      <c r="F103" s="23">
        <v>0</v>
      </c>
      <c r="G103" s="23">
        <v>0</v>
      </c>
      <c r="H103" s="23">
        <v>0</v>
      </c>
      <c r="I103" s="24">
        <f t="shared" si="1"/>
        <v>5614.37</v>
      </c>
    </row>
    <row r="104" spans="1:9">
      <c r="A104" t="s">
        <v>283</v>
      </c>
      <c r="B104" s="23">
        <v>0</v>
      </c>
      <c r="C104" s="23">
        <v>690.23</v>
      </c>
      <c r="D104" s="23">
        <v>6089.68</v>
      </c>
      <c r="E104" s="23">
        <v>0</v>
      </c>
      <c r="F104" s="23">
        <v>0</v>
      </c>
      <c r="G104" s="23">
        <v>0</v>
      </c>
      <c r="H104" s="23">
        <v>0</v>
      </c>
      <c r="I104" s="24">
        <f t="shared" si="1"/>
        <v>6779.91</v>
      </c>
    </row>
    <row r="105" spans="1:9">
      <c r="A105" t="s">
        <v>286</v>
      </c>
      <c r="B105" s="23">
        <v>0</v>
      </c>
      <c r="C105" s="23">
        <v>22.05</v>
      </c>
      <c r="D105" s="23">
        <v>113.54</v>
      </c>
      <c r="E105" s="23">
        <v>0</v>
      </c>
      <c r="F105" s="23">
        <v>0</v>
      </c>
      <c r="G105" s="23">
        <v>0</v>
      </c>
      <c r="H105" s="23">
        <v>0</v>
      </c>
      <c r="I105" s="24">
        <f t="shared" si="1"/>
        <v>135.59</v>
      </c>
    </row>
    <row r="106" spans="1:9">
      <c r="A106" t="s">
        <v>287</v>
      </c>
      <c r="B106" s="23">
        <v>0</v>
      </c>
      <c r="C106" s="23">
        <v>11553.3</v>
      </c>
      <c r="D106" s="23">
        <v>1386.1</v>
      </c>
      <c r="E106" s="23">
        <v>3142.23</v>
      </c>
      <c r="F106" s="23">
        <v>0</v>
      </c>
      <c r="G106" s="23">
        <v>15.21</v>
      </c>
      <c r="H106" s="23">
        <v>0</v>
      </c>
      <c r="I106" s="24">
        <f t="shared" si="1"/>
        <v>16096.84</v>
      </c>
    </row>
    <row r="107" spans="1:9">
      <c r="A107" t="s">
        <v>290</v>
      </c>
      <c r="B107" s="23">
        <v>0</v>
      </c>
      <c r="C107" s="23">
        <v>313.01</v>
      </c>
      <c r="D107" s="23">
        <v>59.84</v>
      </c>
      <c r="E107" s="23">
        <v>11590.12</v>
      </c>
      <c r="F107" s="23">
        <v>0</v>
      </c>
      <c r="G107" s="23">
        <v>0</v>
      </c>
      <c r="H107" s="23">
        <v>0</v>
      </c>
      <c r="I107" s="24">
        <f t="shared" si="1"/>
        <v>11962.97</v>
      </c>
    </row>
    <row r="108" spans="1:9">
      <c r="A108" t="s">
        <v>293</v>
      </c>
      <c r="B108" s="23">
        <v>0</v>
      </c>
      <c r="C108" s="23">
        <v>625.06</v>
      </c>
      <c r="D108" s="23">
        <v>435.74</v>
      </c>
      <c r="E108" s="23">
        <v>11878.68</v>
      </c>
      <c r="F108" s="23">
        <v>0</v>
      </c>
      <c r="G108" s="23">
        <v>0</v>
      </c>
      <c r="H108" s="23">
        <v>0</v>
      </c>
      <c r="I108" s="24">
        <f t="shared" si="1"/>
        <v>12939.48</v>
      </c>
    </row>
    <row r="109" spans="1:9">
      <c r="A109" t="s">
        <v>296</v>
      </c>
      <c r="B109" s="23">
        <v>0</v>
      </c>
      <c r="C109" s="23">
        <v>390.26</v>
      </c>
      <c r="D109" s="23">
        <v>90</v>
      </c>
      <c r="E109" s="23">
        <v>14177.03</v>
      </c>
      <c r="F109" s="23">
        <v>0</v>
      </c>
      <c r="G109" s="23">
        <v>75.35</v>
      </c>
      <c r="H109" s="23">
        <v>0</v>
      </c>
      <c r="I109" s="24">
        <f t="shared" si="1"/>
        <v>14732.64</v>
      </c>
    </row>
    <row r="110" spans="1:9">
      <c r="A110" t="s">
        <v>299</v>
      </c>
      <c r="B110" s="23">
        <v>0</v>
      </c>
      <c r="C110" s="23">
        <v>9512.89000000003</v>
      </c>
      <c r="D110" s="23">
        <v>2202.48</v>
      </c>
      <c r="E110" s="23">
        <v>15.08</v>
      </c>
      <c r="F110" s="23">
        <v>0</v>
      </c>
      <c r="G110" s="23">
        <v>0</v>
      </c>
      <c r="H110" s="23">
        <v>0</v>
      </c>
      <c r="I110" s="24">
        <f t="shared" si="1"/>
        <v>11730.45</v>
      </c>
    </row>
    <row r="111" spans="1:9">
      <c r="A111" t="s">
        <v>300</v>
      </c>
      <c r="B111" s="23">
        <v>0</v>
      </c>
      <c r="C111" s="23">
        <v>1818.56</v>
      </c>
      <c r="D111" s="23">
        <v>9783.64000000003</v>
      </c>
      <c r="E111" s="23">
        <v>0</v>
      </c>
      <c r="F111" s="23">
        <v>0</v>
      </c>
      <c r="G111" s="23">
        <v>0</v>
      </c>
      <c r="H111" s="23">
        <v>0</v>
      </c>
      <c r="I111" s="24">
        <f t="shared" si="1"/>
        <v>11602.2</v>
      </c>
    </row>
    <row r="112" spans="1:9">
      <c r="A112" t="s">
        <v>303</v>
      </c>
      <c r="B112" s="23">
        <v>0</v>
      </c>
      <c r="C112" s="23">
        <v>750.27</v>
      </c>
      <c r="D112" s="23">
        <v>89.86</v>
      </c>
      <c r="E112" s="23">
        <v>0</v>
      </c>
      <c r="F112" s="23">
        <v>0</v>
      </c>
      <c r="G112" s="23">
        <v>0</v>
      </c>
      <c r="H112" s="23">
        <v>0</v>
      </c>
      <c r="I112" s="24">
        <f t="shared" si="1"/>
        <v>840.13</v>
      </c>
    </row>
    <row r="113" spans="1:9">
      <c r="A113" t="s">
        <v>306</v>
      </c>
      <c r="B113" s="23">
        <v>0</v>
      </c>
      <c r="C113" s="23">
        <v>159.24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4">
        <f t="shared" si="1"/>
        <v>159.24</v>
      </c>
    </row>
    <row r="114" spans="1:9">
      <c r="A114" t="s">
        <v>309</v>
      </c>
      <c r="B114" s="23">
        <v>0</v>
      </c>
      <c r="C114" s="23">
        <v>4017.24000000001</v>
      </c>
      <c r="D114" s="23">
        <v>345.98</v>
      </c>
      <c r="E114" s="23">
        <v>9678.36</v>
      </c>
      <c r="F114" s="23">
        <v>0</v>
      </c>
      <c r="G114" s="23">
        <v>0</v>
      </c>
      <c r="H114" s="23">
        <v>0</v>
      </c>
      <c r="I114" s="24">
        <f t="shared" si="1"/>
        <v>14041.58</v>
      </c>
    </row>
    <row r="115" spans="1:9">
      <c r="A115" t="s">
        <v>312</v>
      </c>
      <c r="B115" s="23">
        <v>0</v>
      </c>
      <c r="C115" s="23">
        <v>11963.3700000001</v>
      </c>
      <c r="D115" s="23">
        <v>1622.62</v>
      </c>
      <c r="E115" s="23">
        <v>0</v>
      </c>
      <c r="F115" s="23">
        <v>0</v>
      </c>
      <c r="G115" s="23">
        <v>0</v>
      </c>
      <c r="H115" s="23">
        <v>0</v>
      </c>
      <c r="I115" s="24">
        <f t="shared" si="1"/>
        <v>13585.9900000001</v>
      </c>
    </row>
    <row r="116" spans="1:9">
      <c r="A116" t="s">
        <v>315</v>
      </c>
      <c r="B116" s="23">
        <v>0</v>
      </c>
      <c r="C116" s="23">
        <v>583.58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4">
        <f t="shared" si="1"/>
        <v>583.58</v>
      </c>
    </row>
    <row r="117" spans="1:9">
      <c r="A117" t="s">
        <v>318</v>
      </c>
      <c r="B117" s="23">
        <v>0</v>
      </c>
      <c r="C117" s="23">
        <v>10653</v>
      </c>
      <c r="D117" s="23">
        <v>2072.82</v>
      </c>
      <c r="E117" s="23">
        <v>2717.18</v>
      </c>
      <c r="F117" s="23">
        <v>0</v>
      </c>
      <c r="G117" s="23">
        <v>0</v>
      </c>
      <c r="H117" s="23">
        <v>0</v>
      </c>
      <c r="I117" s="24">
        <f t="shared" si="1"/>
        <v>15443</v>
      </c>
    </row>
    <row r="118" spans="1:9">
      <c r="A118" t="s">
        <v>321</v>
      </c>
      <c r="B118" s="23">
        <v>0</v>
      </c>
      <c r="C118" s="23">
        <v>9305.06000000004</v>
      </c>
      <c r="D118" s="23">
        <v>1852.44</v>
      </c>
      <c r="E118" s="23">
        <v>0</v>
      </c>
      <c r="F118" s="23">
        <v>0</v>
      </c>
      <c r="G118" s="23">
        <v>0</v>
      </c>
      <c r="H118" s="23">
        <v>0</v>
      </c>
      <c r="I118" s="24">
        <f t="shared" si="1"/>
        <v>11157.5</v>
      </c>
    </row>
    <row r="119" spans="1:9">
      <c r="A119" t="s">
        <v>324</v>
      </c>
      <c r="B119" s="23">
        <v>0</v>
      </c>
      <c r="C119" s="23">
        <v>8944.58000000003</v>
      </c>
      <c r="D119" s="23">
        <v>1763.46</v>
      </c>
      <c r="E119" s="23">
        <v>3039.02</v>
      </c>
      <c r="F119" s="23">
        <v>0</v>
      </c>
      <c r="G119" s="23">
        <v>391.71</v>
      </c>
      <c r="H119" s="23">
        <v>0</v>
      </c>
      <c r="I119" s="24">
        <f t="shared" si="1"/>
        <v>14138.77</v>
      </c>
    </row>
    <row r="120" spans="1:9">
      <c r="A120" t="s">
        <v>327</v>
      </c>
      <c r="B120" s="23">
        <v>0</v>
      </c>
      <c r="C120" s="23">
        <v>3109.21</v>
      </c>
      <c r="D120" s="23">
        <v>7518.2</v>
      </c>
      <c r="E120" s="23">
        <v>0</v>
      </c>
      <c r="F120" s="23">
        <v>0</v>
      </c>
      <c r="G120" s="23">
        <v>0</v>
      </c>
      <c r="H120" s="23">
        <v>0</v>
      </c>
      <c r="I120" s="24">
        <f t="shared" si="1"/>
        <v>10627.41</v>
      </c>
    </row>
    <row r="121" spans="1:9">
      <c r="A121" t="s">
        <v>330</v>
      </c>
      <c r="B121" s="23">
        <v>0</v>
      </c>
      <c r="C121" s="23">
        <v>3194.25000000001</v>
      </c>
      <c r="D121" s="23">
        <v>7210.46000000002</v>
      </c>
      <c r="E121" s="23">
        <v>0</v>
      </c>
      <c r="F121" s="23">
        <v>0</v>
      </c>
      <c r="G121" s="23">
        <v>0</v>
      </c>
      <c r="H121" s="23">
        <v>0</v>
      </c>
      <c r="I121" s="24">
        <f t="shared" si="1"/>
        <v>10404.71</v>
      </c>
    </row>
    <row r="122" spans="1:9">
      <c r="A122" t="s">
        <v>333</v>
      </c>
      <c r="B122" s="23">
        <v>0</v>
      </c>
      <c r="C122" s="23">
        <v>3991.13000000001</v>
      </c>
      <c r="D122" s="23">
        <v>5589.18</v>
      </c>
      <c r="E122" s="23">
        <v>0</v>
      </c>
      <c r="F122" s="23">
        <v>0</v>
      </c>
      <c r="G122" s="23">
        <v>0</v>
      </c>
      <c r="H122" s="23">
        <v>0</v>
      </c>
      <c r="I122" s="24">
        <f t="shared" si="1"/>
        <v>9580.31</v>
      </c>
    </row>
    <row r="123" spans="1:9">
      <c r="A123" t="s">
        <v>334</v>
      </c>
      <c r="B123" s="23">
        <v>0</v>
      </c>
      <c r="C123" s="23">
        <v>390.29</v>
      </c>
      <c r="D123" s="23">
        <v>225.66</v>
      </c>
      <c r="E123" s="23">
        <v>0</v>
      </c>
      <c r="F123" s="23">
        <v>0</v>
      </c>
      <c r="G123" s="23">
        <v>0</v>
      </c>
      <c r="H123" s="23">
        <v>0</v>
      </c>
      <c r="I123" s="24">
        <f t="shared" si="1"/>
        <v>615.95</v>
      </c>
    </row>
    <row r="124" spans="1:9">
      <c r="A124" t="s">
        <v>337</v>
      </c>
      <c r="B124" s="23">
        <v>0</v>
      </c>
      <c r="C124" s="23">
        <v>1657.88</v>
      </c>
      <c r="D124" s="23">
        <v>9253.98</v>
      </c>
      <c r="E124" s="23">
        <v>14.99</v>
      </c>
      <c r="F124" s="23">
        <v>0</v>
      </c>
      <c r="G124" s="23">
        <v>0</v>
      </c>
      <c r="H124" s="23">
        <v>0</v>
      </c>
      <c r="I124" s="24">
        <f t="shared" si="1"/>
        <v>10926.85</v>
      </c>
    </row>
    <row r="125" spans="1:9">
      <c r="A125" t="s">
        <v>340</v>
      </c>
      <c r="B125" s="23">
        <v>0</v>
      </c>
      <c r="C125" s="23">
        <v>1592.54</v>
      </c>
      <c r="D125" s="23">
        <v>9619.82000000002</v>
      </c>
      <c r="E125" s="23">
        <v>0</v>
      </c>
      <c r="F125" s="23">
        <v>0</v>
      </c>
      <c r="G125" s="23">
        <v>0</v>
      </c>
      <c r="H125" s="23">
        <v>0</v>
      </c>
      <c r="I125" s="24">
        <f t="shared" si="1"/>
        <v>11212.36</v>
      </c>
    </row>
    <row r="126" spans="1:9">
      <c r="A126" t="s">
        <v>343</v>
      </c>
      <c r="B126" s="23">
        <v>0</v>
      </c>
      <c r="C126" s="23">
        <v>1675.94</v>
      </c>
      <c r="D126" s="23">
        <v>6342.04000000001</v>
      </c>
      <c r="E126" s="23">
        <v>15</v>
      </c>
      <c r="F126" s="23">
        <v>0</v>
      </c>
      <c r="G126" s="23">
        <v>0</v>
      </c>
      <c r="H126" s="23">
        <v>0</v>
      </c>
      <c r="I126" s="24">
        <f t="shared" si="1"/>
        <v>8032.98000000001</v>
      </c>
    </row>
    <row r="127" spans="1:9">
      <c r="A127" t="s">
        <v>346</v>
      </c>
      <c r="B127" s="23">
        <v>0</v>
      </c>
      <c r="C127" s="23">
        <v>90.01</v>
      </c>
      <c r="D127" s="23">
        <v>90.34</v>
      </c>
      <c r="E127" s="23">
        <v>6167.20000000001</v>
      </c>
      <c r="F127" s="23">
        <v>0</v>
      </c>
      <c r="G127" s="23">
        <v>0</v>
      </c>
      <c r="H127" s="23">
        <v>0</v>
      </c>
      <c r="I127" s="24">
        <f t="shared" si="1"/>
        <v>6347.55000000001</v>
      </c>
    </row>
    <row r="128" spans="1:9">
      <c r="A128" t="s">
        <v>349</v>
      </c>
      <c r="B128" s="23">
        <v>0</v>
      </c>
      <c r="C128" s="23">
        <v>165.14</v>
      </c>
      <c r="D128" s="23">
        <v>30.06</v>
      </c>
      <c r="E128" s="23">
        <v>5630.72</v>
      </c>
      <c r="F128" s="23">
        <v>0</v>
      </c>
      <c r="G128" s="23">
        <v>0</v>
      </c>
      <c r="H128" s="23">
        <v>0</v>
      </c>
      <c r="I128" s="24">
        <f t="shared" si="1"/>
        <v>5825.92</v>
      </c>
    </row>
    <row r="129" spans="1:9">
      <c r="A129" t="s">
        <v>352</v>
      </c>
      <c r="B129" s="23">
        <v>0</v>
      </c>
      <c r="C129" s="23">
        <v>3511.96000000001</v>
      </c>
      <c r="D129" s="23">
        <v>1052.2</v>
      </c>
      <c r="E129" s="23">
        <v>300.92</v>
      </c>
      <c r="F129" s="23">
        <v>0</v>
      </c>
      <c r="G129" s="23">
        <v>0</v>
      </c>
      <c r="H129" s="23">
        <v>0</v>
      </c>
      <c r="I129" s="24">
        <f t="shared" si="1"/>
        <v>4865.08000000001</v>
      </c>
    </row>
    <row r="130" spans="1:9">
      <c r="A130" t="s">
        <v>355</v>
      </c>
      <c r="B130" s="23">
        <v>0</v>
      </c>
      <c r="C130" s="23">
        <v>868.16</v>
      </c>
      <c r="D130" s="23">
        <v>6613.50000000001</v>
      </c>
      <c r="E130" s="23">
        <v>0</v>
      </c>
      <c r="F130" s="23">
        <v>0</v>
      </c>
      <c r="G130" s="23">
        <v>0</v>
      </c>
      <c r="H130" s="23">
        <v>0</v>
      </c>
      <c r="I130" s="24">
        <f t="shared" si="1"/>
        <v>7481.66000000001</v>
      </c>
    </row>
    <row r="131" spans="1:9">
      <c r="A131" t="s">
        <v>358</v>
      </c>
      <c r="B131" s="23">
        <v>0</v>
      </c>
      <c r="C131" s="23">
        <v>5087.35000000001</v>
      </c>
      <c r="D131" s="23">
        <v>1192.5</v>
      </c>
      <c r="E131" s="23">
        <v>15.21</v>
      </c>
      <c r="F131" s="23">
        <v>0</v>
      </c>
      <c r="G131" s="23">
        <v>0</v>
      </c>
      <c r="H131" s="23">
        <v>0</v>
      </c>
      <c r="I131" s="24">
        <f t="shared" si="1"/>
        <v>6295.06000000001</v>
      </c>
    </row>
    <row r="132" spans="1:9">
      <c r="A132" t="s">
        <v>361</v>
      </c>
      <c r="B132" s="23">
        <v>0</v>
      </c>
      <c r="C132" s="23">
        <v>11148.2300000001</v>
      </c>
      <c r="D132" s="23">
        <v>2486.38</v>
      </c>
      <c r="E132" s="23">
        <v>0</v>
      </c>
      <c r="F132" s="23">
        <v>0</v>
      </c>
      <c r="G132" s="23">
        <v>26.26</v>
      </c>
      <c r="H132" s="23">
        <v>0</v>
      </c>
      <c r="I132" s="24">
        <f t="shared" si="1"/>
        <v>13660.8700000001</v>
      </c>
    </row>
    <row r="133" spans="1:9">
      <c r="A133" t="s">
        <v>364</v>
      </c>
      <c r="B133" s="23">
        <v>0</v>
      </c>
      <c r="C133" s="23">
        <v>540.25</v>
      </c>
      <c r="D133" s="23">
        <v>2980.63999999999</v>
      </c>
      <c r="E133" s="23">
        <v>0</v>
      </c>
      <c r="F133" s="23">
        <v>0</v>
      </c>
      <c r="G133" s="23">
        <v>0</v>
      </c>
      <c r="H133" s="23">
        <v>0</v>
      </c>
      <c r="I133" s="24">
        <f t="shared" ref="I133:I196" si="2">SUM(B133:H133)</f>
        <v>3520.88999999999</v>
      </c>
    </row>
    <row r="134" spans="1:9">
      <c r="A134" t="s">
        <v>367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4">
        <f t="shared" si="2"/>
        <v>0</v>
      </c>
    </row>
    <row r="135" spans="1:9">
      <c r="A135" t="s">
        <v>370</v>
      </c>
      <c r="B135" s="23">
        <v>0</v>
      </c>
      <c r="C135" s="23">
        <v>0</v>
      </c>
      <c r="D135" s="23">
        <v>0</v>
      </c>
      <c r="E135" s="23">
        <v>1005.22</v>
      </c>
      <c r="F135" s="23">
        <v>417.59</v>
      </c>
      <c r="G135" s="23">
        <v>12062.86</v>
      </c>
      <c r="H135" s="23">
        <v>0</v>
      </c>
      <c r="I135" s="24">
        <f t="shared" si="2"/>
        <v>13485.67</v>
      </c>
    </row>
    <row r="136" spans="1:9">
      <c r="A136" t="s">
        <v>373</v>
      </c>
      <c r="B136" s="23">
        <v>0</v>
      </c>
      <c r="C136" s="23">
        <v>0</v>
      </c>
      <c r="D136" s="23">
        <v>0</v>
      </c>
      <c r="E136" s="23">
        <v>0</v>
      </c>
      <c r="F136" s="23">
        <v>7584.97999999999</v>
      </c>
      <c r="G136" s="23">
        <v>44.89</v>
      </c>
      <c r="H136" s="23">
        <v>0</v>
      </c>
      <c r="I136" s="24">
        <f t="shared" si="2"/>
        <v>7629.86999999999</v>
      </c>
    </row>
    <row r="137" spans="1:9">
      <c r="A137" t="s">
        <v>376</v>
      </c>
      <c r="B137" s="23">
        <v>0</v>
      </c>
      <c r="C137" s="23">
        <v>0</v>
      </c>
      <c r="D137" s="23">
        <v>0</v>
      </c>
      <c r="E137" s="23">
        <v>0</v>
      </c>
      <c r="F137" s="23">
        <v>2968.03</v>
      </c>
      <c r="G137" s="23">
        <v>0</v>
      </c>
      <c r="H137" s="23">
        <v>0</v>
      </c>
      <c r="I137" s="24">
        <f t="shared" si="2"/>
        <v>2968.03</v>
      </c>
    </row>
    <row r="138" spans="1:9">
      <c r="A138" t="s">
        <v>379</v>
      </c>
      <c r="B138" s="23">
        <v>0</v>
      </c>
      <c r="C138" s="23">
        <v>0</v>
      </c>
      <c r="D138" s="23">
        <v>0</v>
      </c>
      <c r="E138" s="23">
        <v>0</v>
      </c>
      <c r="F138" s="23">
        <v>2844.76</v>
      </c>
      <c r="G138" s="23">
        <v>0</v>
      </c>
      <c r="H138" s="23">
        <v>0</v>
      </c>
      <c r="I138" s="24">
        <f t="shared" si="2"/>
        <v>2844.76</v>
      </c>
    </row>
    <row r="139" spans="1:9">
      <c r="A139" t="s">
        <v>382</v>
      </c>
      <c r="B139" s="23">
        <v>0</v>
      </c>
      <c r="C139" s="23">
        <v>0</v>
      </c>
      <c r="D139" s="23">
        <v>0</v>
      </c>
      <c r="E139" s="23">
        <v>0</v>
      </c>
      <c r="F139" s="23">
        <v>6306.49</v>
      </c>
      <c r="G139" s="23">
        <v>149.52</v>
      </c>
      <c r="H139" s="23">
        <v>0</v>
      </c>
      <c r="I139" s="24">
        <f t="shared" si="2"/>
        <v>6456.01</v>
      </c>
    </row>
    <row r="140" spans="1:9">
      <c r="A140" t="s">
        <v>385</v>
      </c>
      <c r="B140" s="23">
        <v>0</v>
      </c>
      <c r="C140" s="23">
        <v>0</v>
      </c>
      <c r="D140" s="23">
        <v>0</v>
      </c>
      <c r="E140" s="23">
        <v>0</v>
      </c>
      <c r="F140" s="23">
        <v>6354.03</v>
      </c>
      <c r="G140" s="23">
        <v>0</v>
      </c>
      <c r="H140" s="23">
        <v>0</v>
      </c>
      <c r="I140" s="24">
        <f t="shared" si="2"/>
        <v>6354.03</v>
      </c>
    </row>
    <row r="141" spans="1:9">
      <c r="A141" t="s">
        <v>388</v>
      </c>
      <c r="B141" s="23">
        <v>0</v>
      </c>
      <c r="C141" s="23">
        <v>0</v>
      </c>
      <c r="D141" s="23">
        <v>0</v>
      </c>
      <c r="E141" s="23">
        <v>0</v>
      </c>
      <c r="F141" s="23">
        <v>12319.69</v>
      </c>
      <c r="G141" s="23">
        <v>151.14</v>
      </c>
      <c r="H141" s="23">
        <v>0</v>
      </c>
      <c r="I141" s="24">
        <f t="shared" si="2"/>
        <v>12470.83</v>
      </c>
    </row>
    <row r="142" spans="1:9">
      <c r="A142" t="s">
        <v>391</v>
      </c>
      <c r="B142" s="23">
        <v>0</v>
      </c>
      <c r="C142" s="23">
        <v>0</v>
      </c>
      <c r="D142" s="23">
        <v>0</v>
      </c>
      <c r="E142" s="23">
        <v>0</v>
      </c>
      <c r="F142" s="23">
        <v>17912.48</v>
      </c>
      <c r="G142" s="23">
        <v>885.24</v>
      </c>
      <c r="H142" s="23">
        <v>0</v>
      </c>
      <c r="I142" s="24">
        <f t="shared" si="2"/>
        <v>18797.72</v>
      </c>
    </row>
    <row r="143" spans="1:9">
      <c r="A143" t="s">
        <v>394</v>
      </c>
      <c r="B143" s="23">
        <v>0</v>
      </c>
      <c r="C143" s="23">
        <v>0</v>
      </c>
      <c r="D143" s="23">
        <v>0</v>
      </c>
      <c r="E143" s="23">
        <v>0</v>
      </c>
      <c r="F143" s="23">
        <v>10866.83</v>
      </c>
      <c r="G143" s="23">
        <v>104.76</v>
      </c>
      <c r="H143" s="23">
        <v>0</v>
      </c>
      <c r="I143" s="24">
        <f t="shared" si="2"/>
        <v>10971.59</v>
      </c>
    </row>
    <row r="144" spans="1:9">
      <c r="A144" t="s">
        <v>397</v>
      </c>
      <c r="B144" s="23">
        <v>0</v>
      </c>
      <c r="C144" s="23">
        <v>0</v>
      </c>
      <c r="D144" s="23">
        <v>0</v>
      </c>
      <c r="E144" s="23">
        <v>0</v>
      </c>
      <c r="F144" s="23">
        <v>11225.83</v>
      </c>
      <c r="G144" s="23">
        <v>3236.42</v>
      </c>
      <c r="H144" s="23">
        <v>0</v>
      </c>
      <c r="I144" s="24">
        <f t="shared" si="2"/>
        <v>14462.25</v>
      </c>
    </row>
    <row r="145" spans="1:9">
      <c r="A145" t="s">
        <v>400</v>
      </c>
      <c r="B145" s="23">
        <v>0</v>
      </c>
      <c r="C145" s="23">
        <v>0</v>
      </c>
      <c r="D145" s="23">
        <v>0</v>
      </c>
      <c r="E145" s="23">
        <v>0</v>
      </c>
      <c r="F145" s="23">
        <v>17676.39</v>
      </c>
      <c r="G145" s="23">
        <v>4762.3</v>
      </c>
      <c r="H145" s="23">
        <v>0</v>
      </c>
      <c r="I145" s="24">
        <f t="shared" si="2"/>
        <v>22438.69</v>
      </c>
    </row>
    <row r="146" spans="1:9">
      <c r="A146" t="s">
        <v>403</v>
      </c>
      <c r="B146" s="23">
        <v>0</v>
      </c>
      <c r="C146" s="23">
        <v>0</v>
      </c>
      <c r="D146" s="23">
        <v>0</v>
      </c>
      <c r="E146" s="23">
        <v>0</v>
      </c>
      <c r="F146" s="23">
        <v>14098.52</v>
      </c>
      <c r="G146" s="23">
        <v>751.38</v>
      </c>
      <c r="H146" s="23">
        <v>0</v>
      </c>
      <c r="I146" s="24">
        <f t="shared" si="2"/>
        <v>14849.9</v>
      </c>
    </row>
    <row r="147" spans="1:9">
      <c r="A147" t="s">
        <v>406</v>
      </c>
      <c r="B147" s="23">
        <v>0</v>
      </c>
      <c r="C147" s="23">
        <v>0</v>
      </c>
      <c r="D147" s="23">
        <v>0</v>
      </c>
      <c r="E147" s="23">
        <v>0</v>
      </c>
      <c r="F147" s="23">
        <v>11300.45</v>
      </c>
      <c r="G147" s="23">
        <v>29.9</v>
      </c>
      <c r="H147" s="23">
        <v>0</v>
      </c>
      <c r="I147" s="24">
        <f t="shared" si="2"/>
        <v>11330.35</v>
      </c>
    </row>
    <row r="148" spans="1:9">
      <c r="A148" t="s">
        <v>409</v>
      </c>
      <c r="B148" s="23">
        <v>0</v>
      </c>
      <c r="C148" s="23">
        <v>0</v>
      </c>
      <c r="D148" s="23">
        <v>0</v>
      </c>
      <c r="E148" s="23">
        <v>0</v>
      </c>
      <c r="F148" s="23">
        <v>10498.68</v>
      </c>
      <c r="G148" s="23">
        <v>315.82</v>
      </c>
      <c r="H148" s="23">
        <v>0</v>
      </c>
      <c r="I148" s="24">
        <f t="shared" si="2"/>
        <v>10814.5</v>
      </c>
    </row>
    <row r="149" spans="1:9">
      <c r="A149" t="s">
        <v>412</v>
      </c>
      <c r="B149" s="23">
        <v>0</v>
      </c>
      <c r="C149" s="23">
        <v>0</v>
      </c>
      <c r="D149" s="23">
        <v>0</v>
      </c>
      <c r="E149" s="23">
        <v>0</v>
      </c>
      <c r="F149" s="23">
        <v>12422.9</v>
      </c>
      <c r="G149" s="23">
        <v>3735.32</v>
      </c>
      <c r="H149" s="23">
        <v>0</v>
      </c>
      <c r="I149" s="24">
        <f t="shared" si="2"/>
        <v>16158.22</v>
      </c>
    </row>
    <row r="150" spans="1:9">
      <c r="A150" t="s">
        <v>415</v>
      </c>
      <c r="B150" s="23">
        <v>0</v>
      </c>
      <c r="C150" s="23">
        <v>0</v>
      </c>
      <c r="D150" s="23">
        <v>0</v>
      </c>
      <c r="E150" s="23">
        <v>0</v>
      </c>
      <c r="F150" s="23">
        <v>9179.71</v>
      </c>
      <c r="G150" s="23">
        <v>2024.64</v>
      </c>
      <c r="H150" s="23">
        <v>0</v>
      </c>
      <c r="I150" s="24">
        <f t="shared" si="2"/>
        <v>11204.35</v>
      </c>
    </row>
    <row r="151" spans="1:9">
      <c r="A151" t="s">
        <v>418</v>
      </c>
      <c r="B151" s="23">
        <v>0</v>
      </c>
      <c r="C151" s="23">
        <v>0</v>
      </c>
      <c r="D151" s="23">
        <v>0</v>
      </c>
      <c r="E151" s="23">
        <v>0</v>
      </c>
      <c r="F151" s="23">
        <v>11037.85</v>
      </c>
      <c r="G151" s="23">
        <v>332.02</v>
      </c>
      <c r="H151" s="23">
        <v>0</v>
      </c>
      <c r="I151" s="24">
        <f t="shared" si="2"/>
        <v>11369.87</v>
      </c>
    </row>
    <row r="152" spans="1:9">
      <c r="A152" t="s">
        <v>421</v>
      </c>
      <c r="B152" s="23">
        <v>0</v>
      </c>
      <c r="C152" s="23">
        <v>0</v>
      </c>
      <c r="D152" s="23">
        <v>0</v>
      </c>
      <c r="E152" s="23">
        <v>0</v>
      </c>
      <c r="F152" s="23">
        <v>10667.08</v>
      </c>
      <c r="G152" s="23">
        <v>4353.1</v>
      </c>
      <c r="H152" s="23">
        <v>0</v>
      </c>
      <c r="I152" s="24">
        <f t="shared" si="2"/>
        <v>15020.18</v>
      </c>
    </row>
    <row r="153" spans="1:9">
      <c r="A153" t="s">
        <v>424</v>
      </c>
      <c r="B153" s="23">
        <v>0</v>
      </c>
      <c r="C153" s="23">
        <v>0</v>
      </c>
      <c r="D153" s="23">
        <v>0</v>
      </c>
      <c r="E153" s="23">
        <v>0</v>
      </c>
      <c r="F153" s="23">
        <v>12703.36</v>
      </c>
      <c r="G153" s="23">
        <v>104.85</v>
      </c>
      <c r="H153" s="23">
        <v>0</v>
      </c>
      <c r="I153" s="24">
        <f t="shared" si="2"/>
        <v>12808.21</v>
      </c>
    </row>
    <row r="154" spans="1:9">
      <c r="A154" t="s">
        <v>427</v>
      </c>
      <c r="B154" s="23">
        <v>0</v>
      </c>
      <c r="C154" s="23">
        <v>0</v>
      </c>
      <c r="D154" s="23">
        <v>0</v>
      </c>
      <c r="E154" s="23">
        <v>0</v>
      </c>
      <c r="F154" s="23">
        <v>11775.68</v>
      </c>
      <c r="G154" s="23">
        <v>330.69</v>
      </c>
      <c r="H154" s="23">
        <v>0</v>
      </c>
      <c r="I154" s="24">
        <f t="shared" si="2"/>
        <v>12106.37</v>
      </c>
    </row>
    <row r="155" spans="1:9">
      <c r="A155" t="s">
        <v>430</v>
      </c>
      <c r="B155" s="23">
        <v>0</v>
      </c>
      <c r="C155" s="23">
        <v>0</v>
      </c>
      <c r="D155" s="23">
        <v>0</v>
      </c>
      <c r="E155" s="23">
        <v>0</v>
      </c>
      <c r="F155" s="23">
        <v>4837.02</v>
      </c>
      <c r="G155" s="23">
        <v>15.01</v>
      </c>
      <c r="H155" s="23">
        <v>0</v>
      </c>
      <c r="I155" s="24">
        <f t="shared" si="2"/>
        <v>4852.03</v>
      </c>
    </row>
    <row r="156" spans="1:9">
      <c r="A156" t="s">
        <v>431</v>
      </c>
      <c r="B156" s="23">
        <v>0</v>
      </c>
      <c r="C156" s="23">
        <v>0</v>
      </c>
      <c r="D156" s="23">
        <v>0</v>
      </c>
      <c r="E156" s="23">
        <v>0</v>
      </c>
      <c r="F156" s="23">
        <v>15698.3</v>
      </c>
      <c r="G156" s="23">
        <v>240.06</v>
      </c>
      <c r="H156" s="23">
        <v>0</v>
      </c>
      <c r="I156" s="24">
        <f t="shared" si="2"/>
        <v>15938.36</v>
      </c>
    </row>
    <row r="157" spans="1:9">
      <c r="A157" t="s">
        <v>432</v>
      </c>
      <c r="B157" s="23">
        <v>0</v>
      </c>
      <c r="C157" s="23">
        <v>0</v>
      </c>
      <c r="D157" s="23">
        <v>0</v>
      </c>
      <c r="E157" s="23">
        <v>0</v>
      </c>
      <c r="F157" s="23">
        <v>2265.9</v>
      </c>
      <c r="G157" s="23">
        <v>14.91</v>
      </c>
      <c r="H157" s="23">
        <v>0</v>
      </c>
      <c r="I157" s="24">
        <f t="shared" si="2"/>
        <v>2280.81</v>
      </c>
    </row>
    <row r="158" spans="1:9">
      <c r="A158" t="s">
        <v>435</v>
      </c>
      <c r="B158" s="23">
        <v>0</v>
      </c>
      <c r="C158" s="23">
        <v>0</v>
      </c>
      <c r="D158" s="23">
        <v>0</v>
      </c>
      <c r="E158" s="23">
        <v>0</v>
      </c>
      <c r="F158" s="23">
        <v>14.57</v>
      </c>
      <c r="G158" s="23">
        <v>16260.66</v>
      </c>
      <c r="H158" s="23">
        <v>0</v>
      </c>
      <c r="I158" s="24">
        <f t="shared" si="2"/>
        <v>16275.23</v>
      </c>
    </row>
    <row r="159" spans="1:9">
      <c r="A159" t="s">
        <v>438</v>
      </c>
      <c r="B159" s="23">
        <v>0</v>
      </c>
      <c r="C159" s="23">
        <v>0</v>
      </c>
      <c r="D159" s="23">
        <v>0</v>
      </c>
      <c r="E159" s="23">
        <v>0</v>
      </c>
      <c r="F159" s="23">
        <v>11986.43</v>
      </c>
      <c r="G159" s="23">
        <v>343.93</v>
      </c>
      <c r="H159" s="23">
        <v>0</v>
      </c>
      <c r="I159" s="24">
        <f t="shared" si="2"/>
        <v>12330.36</v>
      </c>
    </row>
    <row r="160" spans="1:9">
      <c r="A160" t="s">
        <v>441</v>
      </c>
      <c r="B160" s="23">
        <v>0</v>
      </c>
      <c r="C160" s="23">
        <v>0</v>
      </c>
      <c r="D160" s="23">
        <v>0</v>
      </c>
      <c r="E160" s="23">
        <v>0</v>
      </c>
      <c r="F160" s="23">
        <v>27694.8799999999</v>
      </c>
      <c r="G160" s="23">
        <v>360.11</v>
      </c>
      <c r="H160" s="23">
        <v>0</v>
      </c>
      <c r="I160" s="24">
        <f t="shared" si="2"/>
        <v>28054.9899999999</v>
      </c>
    </row>
    <row r="161" spans="1:9">
      <c r="A161" t="s">
        <v>444</v>
      </c>
      <c r="B161" s="23">
        <v>0</v>
      </c>
      <c r="C161" s="23">
        <v>0</v>
      </c>
      <c r="D161" s="23">
        <v>0</v>
      </c>
      <c r="E161" s="23">
        <v>0</v>
      </c>
      <c r="F161" s="23">
        <v>14869.17</v>
      </c>
      <c r="G161" s="23">
        <v>1834.93</v>
      </c>
      <c r="H161" s="23">
        <v>0</v>
      </c>
      <c r="I161" s="24">
        <f t="shared" si="2"/>
        <v>16704.1</v>
      </c>
    </row>
    <row r="162" spans="1:9">
      <c r="A162" t="s">
        <v>447</v>
      </c>
      <c r="B162" s="23">
        <v>0</v>
      </c>
      <c r="C162" s="23">
        <v>0</v>
      </c>
      <c r="D162" s="23">
        <v>0</v>
      </c>
      <c r="E162" s="23">
        <v>0</v>
      </c>
      <c r="F162" s="23">
        <v>5072.06</v>
      </c>
      <c r="G162" s="23">
        <v>3506.07</v>
      </c>
      <c r="H162" s="23">
        <v>0</v>
      </c>
      <c r="I162" s="24">
        <f t="shared" si="2"/>
        <v>8578.13</v>
      </c>
    </row>
    <row r="163" spans="1:9">
      <c r="A163" t="s">
        <v>450</v>
      </c>
      <c r="B163" s="23">
        <v>0</v>
      </c>
      <c r="C163" s="23">
        <v>0</v>
      </c>
      <c r="D163" s="23">
        <v>0</v>
      </c>
      <c r="E163" s="23">
        <v>0</v>
      </c>
      <c r="F163" s="23">
        <v>3759.97</v>
      </c>
      <c r="G163" s="23">
        <v>1414.27</v>
      </c>
      <c r="H163" s="23">
        <v>0</v>
      </c>
      <c r="I163" s="24">
        <f t="shared" si="2"/>
        <v>5174.24</v>
      </c>
    </row>
    <row r="164" spans="1:9">
      <c r="A164" t="s">
        <v>453</v>
      </c>
      <c r="B164" s="23">
        <v>0</v>
      </c>
      <c r="C164" s="23">
        <v>0</v>
      </c>
      <c r="D164" s="23">
        <v>0</v>
      </c>
      <c r="E164" s="23">
        <v>0</v>
      </c>
      <c r="F164" s="23">
        <v>10546.5</v>
      </c>
      <c r="G164" s="23">
        <v>1630.85</v>
      </c>
      <c r="H164" s="23">
        <v>0</v>
      </c>
      <c r="I164" s="24">
        <f t="shared" si="2"/>
        <v>12177.35</v>
      </c>
    </row>
    <row r="165" spans="1:9">
      <c r="A165" t="s">
        <v>456</v>
      </c>
      <c r="B165" s="23">
        <v>0</v>
      </c>
      <c r="C165" s="23">
        <v>0</v>
      </c>
      <c r="D165" s="23">
        <v>0</v>
      </c>
      <c r="E165" s="23">
        <v>0</v>
      </c>
      <c r="F165" s="23">
        <v>11702.78</v>
      </c>
      <c r="G165" s="23">
        <v>330.15</v>
      </c>
      <c r="H165" s="23">
        <v>0</v>
      </c>
      <c r="I165" s="24">
        <f t="shared" si="2"/>
        <v>12032.93</v>
      </c>
    </row>
    <row r="166" spans="1:9">
      <c r="A166" t="s">
        <v>459</v>
      </c>
      <c r="B166" s="23">
        <v>0</v>
      </c>
      <c r="C166" s="23">
        <v>0</v>
      </c>
      <c r="D166" s="23">
        <v>0</v>
      </c>
      <c r="E166" s="23">
        <v>0</v>
      </c>
      <c r="F166" s="23">
        <v>12172.17</v>
      </c>
      <c r="G166" s="23">
        <v>1107.32</v>
      </c>
      <c r="H166" s="23">
        <v>0</v>
      </c>
      <c r="I166" s="24">
        <f t="shared" si="2"/>
        <v>13279.49</v>
      </c>
    </row>
    <row r="167" spans="1:9">
      <c r="A167" t="s">
        <v>462</v>
      </c>
      <c r="B167" s="23">
        <v>0</v>
      </c>
      <c r="C167" s="23">
        <v>0</v>
      </c>
      <c r="D167" s="23">
        <v>0</v>
      </c>
      <c r="E167" s="23">
        <v>0</v>
      </c>
      <c r="F167" s="23">
        <v>12047.26</v>
      </c>
      <c r="G167" s="23">
        <v>15</v>
      </c>
      <c r="H167" s="23">
        <v>0</v>
      </c>
      <c r="I167" s="24">
        <f t="shared" si="2"/>
        <v>12062.26</v>
      </c>
    </row>
    <row r="168" spans="1:9">
      <c r="A168" t="s">
        <v>463</v>
      </c>
      <c r="B168" s="23">
        <v>0</v>
      </c>
      <c r="C168" s="23">
        <v>0</v>
      </c>
      <c r="D168" s="23">
        <v>0</v>
      </c>
      <c r="E168" s="23">
        <v>0</v>
      </c>
      <c r="F168" s="23">
        <v>11614.44</v>
      </c>
      <c r="G168" s="23">
        <v>120.51</v>
      </c>
      <c r="H168" s="23">
        <v>0</v>
      </c>
      <c r="I168" s="24">
        <f t="shared" si="2"/>
        <v>11734.95</v>
      </c>
    </row>
    <row r="169" spans="1:9">
      <c r="A169" t="s">
        <v>464</v>
      </c>
      <c r="B169" s="23">
        <v>0</v>
      </c>
      <c r="C169" s="23">
        <v>0</v>
      </c>
      <c r="D169" s="23">
        <v>0</v>
      </c>
      <c r="E169" s="23">
        <v>0</v>
      </c>
      <c r="F169" s="23">
        <v>7510.84</v>
      </c>
      <c r="G169" s="23">
        <v>0</v>
      </c>
      <c r="H169" s="23">
        <v>0</v>
      </c>
      <c r="I169" s="24">
        <f t="shared" si="2"/>
        <v>7510.84</v>
      </c>
    </row>
    <row r="170" spans="1:9">
      <c r="A170" t="s">
        <v>467</v>
      </c>
      <c r="B170" s="23">
        <v>0</v>
      </c>
      <c r="C170" s="23">
        <v>0</v>
      </c>
      <c r="D170" s="23">
        <v>0</v>
      </c>
      <c r="E170" s="23">
        <v>0</v>
      </c>
      <c r="F170" s="23">
        <v>10358.29</v>
      </c>
      <c r="G170" s="23">
        <v>90.23</v>
      </c>
      <c r="H170" s="23">
        <v>0</v>
      </c>
      <c r="I170" s="24">
        <f t="shared" si="2"/>
        <v>10448.52</v>
      </c>
    </row>
    <row r="171" spans="1:9">
      <c r="A171" t="s">
        <v>470</v>
      </c>
      <c r="B171" s="23">
        <v>0</v>
      </c>
      <c r="C171" s="23">
        <v>0</v>
      </c>
      <c r="D171" s="23">
        <v>0</v>
      </c>
      <c r="E171" s="23">
        <v>0</v>
      </c>
      <c r="F171" s="23">
        <v>12506.94</v>
      </c>
      <c r="G171" s="23">
        <v>163.58</v>
      </c>
      <c r="H171" s="23">
        <v>0</v>
      </c>
      <c r="I171" s="24">
        <f t="shared" si="2"/>
        <v>12670.52</v>
      </c>
    </row>
    <row r="172" spans="1:9">
      <c r="A172" t="s">
        <v>473</v>
      </c>
      <c r="B172" s="23">
        <v>0</v>
      </c>
      <c r="C172" s="23">
        <v>0</v>
      </c>
      <c r="D172" s="23">
        <v>0</v>
      </c>
      <c r="E172" s="23">
        <v>0</v>
      </c>
      <c r="F172" s="23">
        <v>9090.22000000001</v>
      </c>
      <c r="G172" s="23">
        <v>7381.66</v>
      </c>
      <c r="H172" s="23">
        <v>0</v>
      </c>
      <c r="I172" s="24">
        <f t="shared" si="2"/>
        <v>16471.88</v>
      </c>
    </row>
    <row r="173" spans="1:9">
      <c r="A173" t="s">
        <v>476</v>
      </c>
      <c r="B173" s="23">
        <v>0</v>
      </c>
      <c r="C173" s="23">
        <v>0</v>
      </c>
      <c r="D173" s="23">
        <v>0</v>
      </c>
      <c r="E173" s="23">
        <v>0</v>
      </c>
      <c r="F173" s="23">
        <v>11043.94</v>
      </c>
      <c r="G173" s="23">
        <v>640.16</v>
      </c>
      <c r="H173" s="23">
        <v>0</v>
      </c>
      <c r="I173" s="24">
        <f t="shared" si="2"/>
        <v>11684.1</v>
      </c>
    </row>
    <row r="174" spans="1:9">
      <c r="A174" t="s">
        <v>479</v>
      </c>
      <c r="B174" s="23">
        <v>0</v>
      </c>
      <c r="C174" s="23">
        <v>0</v>
      </c>
      <c r="D174" s="23">
        <v>0</v>
      </c>
      <c r="E174" s="23">
        <v>0</v>
      </c>
      <c r="F174" s="23">
        <v>10513</v>
      </c>
      <c r="G174" s="23">
        <v>0</v>
      </c>
      <c r="H174" s="23">
        <v>0</v>
      </c>
      <c r="I174" s="24">
        <f t="shared" si="2"/>
        <v>10513</v>
      </c>
    </row>
    <row r="175" spans="1:9">
      <c r="A175" t="s">
        <v>480</v>
      </c>
      <c r="B175" s="23">
        <v>0</v>
      </c>
      <c r="C175" s="23">
        <v>0</v>
      </c>
      <c r="D175" s="23">
        <v>0</v>
      </c>
      <c r="E175" s="23">
        <v>0</v>
      </c>
      <c r="F175" s="23">
        <v>7527.19</v>
      </c>
      <c r="G175" s="23">
        <v>345.32</v>
      </c>
      <c r="H175" s="23">
        <v>0</v>
      </c>
      <c r="I175" s="24">
        <f t="shared" si="2"/>
        <v>7872.51</v>
      </c>
    </row>
    <row r="176" spans="1:9">
      <c r="A176" t="s">
        <v>483</v>
      </c>
      <c r="B176" s="23">
        <v>0</v>
      </c>
      <c r="C176" s="23">
        <v>0</v>
      </c>
      <c r="D176" s="23">
        <v>0</v>
      </c>
      <c r="E176" s="23">
        <v>0</v>
      </c>
      <c r="F176" s="23">
        <v>9733.74999999999</v>
      </c>
      <c r="G176" s="23">
        <v>454.34</v>
      </c>
      <c r="H176" s="23">
        <v>0</v>
      </c>
      <c r="I176" s="24">
        <f t="shared" si="2"/>
        <v>10188.09</v>
      </c>
    </row>
    <row r="177" spans="1:9">
      <c r="A177" t="s">
        <v>486</v>
      </c>
      <c r="B177" s="23">
        <v>0</v>
      </c>
      <c r="C177" s="23">
        <v>0</v>
      </c>
      <c r="D177" s="23">
        <v>0</v>
      </c>
      <c r="E177" s="23">
        <v>0</v>
      </c>
      <c r="F177" s="23">
        <v>11144.45</v>
      </c>
      <c r="G177" s="23">
        <v>556.14</v>
      </c>
      <c r="H177" s="23">
        <v>0</v>
      </c>
      <c r="I177" s="24">
        <f t="shared" si="2"/>
        <v>11700.59</v>
      </c>
    </row>
    <row r="178" spans="1:9">
      <c r="A178" t="s">
        <v>489</v>
      </c>
      <c r="B178" s="23">
        <v>0</v>
      </c>
      <c r="C178" s="23">
        <v>0</v>
      </c>
      <c r="D178" s="23">
        <v>0</v>
      </c>
      <c r="E178" s="23">
        <v>0</v>
      </c>
      <c r="F178" s="23">
        <v>6099.39</v>
      </c>
      <c r="G178" s="23">
        <v>6806.25000000001</v>
      </c>
      <c r="H178" s="23">
        <v>0</v>
      </c>
      <c r="I178" s="24">
        <f t="shared" si="2"/>
        <v>12905.64</v>
      </c>
    </row>
    <row r="179" spans="1:9">
      <c r="A179" t="s">
        <v>492</v>
      </c>
      <c r="B179" s="23">
        <v>0</v>
      </c>
      <c r="C179" s="23">
        <v>0</v>
      </c>
      <c r="D179" s="23">
        <v>0</v>
      </c>
      <c r="E179" s="23">
        <v>0</v>
      </c>
      <c r="F179" s="23">
        <v>12857.85</v>
      </c>
      <c r="G179" s="23">
        <v>0</v>
      </c>
      <c r="H179" s="23">
        <v>0</v>
      </c>
      <c r="I179" s="24">
        <f t="shared" si="2"/>
        <v>12857.85</v>
      </c>
    </row>
    <row r="180" spans="1:9">
      <c r="A180" t="s">
        <v>495</v>
      </c>
      <c r="B180" s="23">
        <v>0</v>
      </c>
      <c r="C180" s="23">
        <v>0</v>
      </c>
      <c r="D180" s="23">
        <v>0</v>
      </c>
      <c r="E180" s="23">
        <v>0</v>
      </c>
      <c r="F180" s="23">
        <v>8144.58000000001</v>
      </c>
      <c r="G180" s="23">
        <v>105.88</v>
      </c>
      <c r="H180" s="23">
        <v>0</v>
      </c>
      <c r="I180" s="24">
        <f t="shared" si="2"/>
        <v>8250.46</v>
      </c>
    </row>
    <row r="181" spans="1:9">
      <c r="A181" t="s">
        <v>498</v>
      </c>
      <c r="B181" s="23">
        <v>0</v>
      </c>
      <c r="C181" s="23">
        <v>0</v>
      </c>
      <c r="D181" s="23">
        <v>0</v>
      </c>
      <c r="E181" s="23">
        <v>0</v>
      </c>
      <c r="F181" s="23">
        <v>12051.94</v>
      </c>
      <c r="G181" s="23">
        <v>135.69</v>
      </c>
      <c r="H181" s="23">
        <v>0</v>
      </c>
      <c r="I181" s="24">
        <f t="shared" si="2"/>
        <v>12187.63</v>
      </c>
    </row>
    <row r="182" spans="1:9">
      <c r="A182" t="s">
        <v>501</v>
      </c>
      <c r="B182" s="23">
        <v>0</v>
      </c>
      <c r="C182" s="23">
        <v>0</v>
      </c>
      <c r="D182" s="23">
        <v>0</v>
      </c>
      <c r="E182" s="23">
        <v>0</v>
      </c>
      <c r="F182" s="23">
        <v>17848.1</v>
      </c>
      <c r="G182" s="23">
        <v>1274.95</v>
      </c>
      <c r="H182" s="23">
        <v>0</v>
      </c>
      <c r="I182" s="24">
        <f t="shared" si="2"/>
        <v>19123.05</v>
      </c>
    </row>
    <row r="183" spans="1:9">
      <c r="A183" t="s">
        <v>504</v>
      </c>
      <c r="B183" s="23">
        <v>0</v>
      </c>
      <c r="C183" s="23">
        <v>0</v>
      </c>
      <c r="D183" s="23">
        <v>0</v>
      </c>
      <c r="E183" s="23">
        <v>0</v>
      </c>
      <c r="F183" s="23">
        <v>6337.84</v>
      </c>
      <c r="G183" s="23">
        <v>4586.72</v>
      </c>
      <c r="H183" s="23">
        <v>0</v>
      </c>
      <c r="I183" s="24">
        <f t="shared" si="2"/>
        <v>10924.56</v>
      </c>
    </row>
    <row r="184" spans="1:9">
      <c r="A184" t="s">
        <v>507</v>
      </c>
      <c r="B184" s="23">
        <v>0</v>
      </c>
      <c r="C184" s="23">
        <v>0</v>
      </c>
      <c r="D184" s="23">
        <v>0</v>
      </c>
      <c r="E184" s="23">
        <v>0</v>
      </c>
      <c r="F184" s="23">
        <v>9538.24999999999</v>
      </c>
      <c r="G184" s="23">
        <v>45.38</v>
      </c>
      <c r="H184" s="23">
        <v>0</v>
      </c>
      <c r="I184" s="24">
        <f t="shared" si="2"/>
        <v>9583.62999999999</v>
      </c>
    </row>
    <row r="185" spans="1:9">
      <c r="A185" t="s">
        <v>510</v>
      </c>
      <c r="B185" s="23">
        <v>0</v>
      </c>
      <c r="C185" s="23">
        <v>0</v>
      </c>
      <c r="D185" s="23">
        <v>0</v>
      </c>
      <c r="E185" s="23">
        <v>0</v>
      </c>
      <c r="F185" s="23">
        <v>8357.53</v>
      </c>
      <c r="G185" s="23">
        <v>15.02</v>
      </c>
      <c r="H185" s="23">
        <v>0</v>
      </c>
      <c r="I185" s="24">
        <f t="shared" si="2"/>
        <v>8372.55</v>
      </c>
    </row>
    <row r="186" spans="1:9">
      <c r="A186" t="s">
        <v>513</v>
      </c>
      <c r="B186" s="23">
        <v>0</v>
      </c>
      <c r="C186" s="23">
        <v>0</v>
      </c>
      <c r="D186" s="23">
        <v>0</v>
      </c>
      <c r="E186" s="23">
        <v>0</v>
      </c>
      <c r="F186" s="23">
        <v>432.22</v>
      </c>
      <c r="G186" s="23">
        <v>45.11</v>
      </c>
      <c r="H186" s="23">
        <v>0</v>
      </c>
      <c r="I186" s="24">
        <f t="shared" si="2"/>
        <v>477.33</v>
      </c>
    </row>
    <row r="187" spans="1:9">
      <c r="A187" t="s">
        <v>516</v>
      </c>
      <c r="B187" s="23">
        <v>0</v>
      </c>
      <c r="C187" s="23">
        <v>0</v>
      </c>
      <c r="D187" s="23">
        <v>0</v>
      </c>
      <c r="E187" s="23">
        <v>0</v>
      </c>
      <c r="F187" s="23">
        <v>7399.73999999999</v>
      </c>
      <c r="G187" s="23">
        <v>5645.63</v>
      </c>
      <c r="H187" s="23">
        <v>0</v>
      </c>
      <c r="I187" s="24">
        <f t="shared" si="2"/>
        <v>13045.37</v>
      </c>
    </row>
    <row r="188" spans="1:9">
      <c r="A188" t="s">
        <v>519</v>
      </c>
      <c r="B188" s="23">
        <v>0</v>
      </c>
      <c r="C188" s="23">
        <v>0</v>
      </c>
      <c r="D188" s="23">
        <v>0</v>
      </c>
      <c r="E188" s="23">
        <v>0</v>
      </c>
      <c r="F188" s="23">
        <v>14.72</v>
      </c>
      <c r="G188" s="23">
        <v>9718.84</v>
      </c>
      <c r="H188" s="23">
        <v>0</v>
      </c>
      <c r="I188" s="24">
        <f t="shared" si="2"/>
        <v>9733.56</v>
      </c>
    </row>
    <row r="189" spans="1:9">
      <c r="A189" t="s">
        <v>522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4">
        <f t="shared" si="2"/>
        <v>0</v>
      </c>
    </row>
    <row r="190" spans="1:9">
      <c r="A190" t="s">
        <v>523</v>
      </c>
      <c r="B190" s="23">
        <v>0</v>
      </c>
      <c r="C190" s="23">
        <v>0</v>
      </c>
      <c r="D190" s="23">
        <v>0</v>
      </c>
      <c r="E190" s="23">
        <v>0</v>
      </c>
      <c r="F190" s="23">
        <v>11391.2</v>
      </c>
      <c r="G190" s="23">
        <v>2185.03</v>
      </c>
      <c r="H190" s="23">
        <v>0</v>
      </c>
      <c r="I190" s="24">
        <f t="shared" si="2"/>
        <v>13576.23</v>
      </c>
    </row>
    <row r="191" spans="1:9">
      <c r="A191" t="s">
        <v>526</v>
      </c>
      <c r="B191" s="23">
        <v>0</v>
      </c>
      <c r="C191" s="23">
        <v>0</v>
      </c>
      <c r="D191" s="23">
        <v>0</v>
      </c>
      <c r="E191" s="23">
        <v>0</v>
      </c>
      <c r="F191" s="23">
        <v>12064.06</v>
      </c>
      <c r="G191" s="23">
        <v>2990.66</v>
      </c>
      <c r="H191" s="23">
        <v>0</v>
      </c>
      <c r="I191" s="24">
        <f t="shared" si="2"/>
        <v>15054.72</v>
      </c>
    </row>
    <row r="192" spans="1:9">
      <c r="A192" t="s">
        <v>529</v>
      </c>
      <c r="B192" s="23">
        <v>0</v>
      </c>
      <c r="C192" s="23">
        <v>0</v>
      </c>
      <c r="D192" s="23">
        <v>0</v>
      </c>
      <c r="E192" s="23">
        <v>0</v>
      </c>
      <c r="F192" s="23">
        <v>13545.01</v>
      </c>
      <c r="G192" s="23">
        <v>810.66</v>
      </c>
      <c r="H192" s="23">
        <v>0</v>
      </c>
      <c r="I192" s="24">
        <f t="shared" si="2"/>
        <v>14355.67</v>
      </c>
    </row>
    <row r="193" spans="1:9">
      <c r="A193" t="s">
        <v>532</v>
      </c>
      <c r="B193" s="23">
        <v>0</v>
      </c>
      <c r="C193" s="23">
        <v>0</v>
      </c>
      <c r="D193" s="23">
        <v>0</v>
      </c>
      <c r="E193" s="23">
        <v>0</v>
      </c>
      <c r="F193" s="23">
        <v>12215.62</v>
      </c>
      <c r="G193" s="23">
        <v>373.85</v>
      </c>
      <c r="H193" s="23">
        <v>0</v>
      </c>
      <c r="I193" s="24">
        <f t="shared" si="2"/>
        <v>12589.47</v>
      </c>
    </row>
    <row r="194" spans="1:9">
      <c r="A194" t="s">
        <v>535</v>
      </c>
      <c r="B194" s="23">
        <v>0</v>
      </c>
      <c r="C194" s="23">
        <v>0</v>
      </c>
      <c r="D194" s="23">
        <v>0</v>
      </c>
      <c r="E194" s="23">
        <v>0</v>
      </c>
      <c r="F194" s="23">
        <v>6871.34</v>
      </c>
      <c r="G194" s="23">
        <v>440.12</v>
      </c>
      <c r="H194" s="23">
        <v>0</v>
      </c>
      <c r="I194" s="24">
        <f t="shared" si="2"/>
        <v>7311.46</v>
      </c>
    </row>
    <row r="195" spans="1:9">
      <c r="A195" t="s">
        <v>538</v>
      </c>
      <c r="B195" s="23">
        <v>0</v>
      </c>
      <c r="C195" s="23">
        <v>0</v>
      </c>
      <c r="D195" s="23">
        <v>0</v>
      </c>
      <c r="E195" s="23">
        <v>0</v>
      </c>
      <c r="F195" s="23">
        <v>6028.22</v>
      </c>
      <c r="G195" s="23">
        <v>6352.97</v>
      </c>
      <c r="H195" s="23">
        <v>0</v>
      </c>
      <c r="I195" s="24">
        <f t="shared" si="2"/>
        <v>12381.19</v>
      </c>
    </row>
    <row r="196" spans="1:9">
      <c r="A196" t="s">
        <v>541</v>
      </c>
      <c r="B196" s="23">
        <v>0</v>
      </c>
      <c r="C196" s="23">
        <v>0</v>
      </c>
      <c r="D196" s="23">
        <v>0</v>
      </c>
      <c r="E196" s="23">
        <v>0</v>
      </c>
      <c r="F196" s="23">
        <v>13072.1</v>
      </c>
      <c r="G196" s="23">
        <v>39.7</v>
      </c>
      <c r="H196" s="23">
        <v>0</v>
      </c>
      <c r="I196" s="24">
        <f t="shared" si="2"/>
        <v>13111.8</v>
      </c>
    </row>
    <row r="197" spans="1:9">
      <c r="A197" t="s">
        <v>544</v>
      </c>
      <c r="B197" s="23">
        <v>0</v>
      </c>
      <c r="C197" s="23">
        <v>0</v>
      </c>
      <c r="D197" s="23">
        <v>0</v>
      </c>
      <c r="E197" s="23">
        <v>0</v>
      </c>
      <c r="F197" s="23">
        <v>224.39</v>
      </c>
      <c r="G197" s="23">
        <v>9867.84</v>
      </c>
      <c r="H197" s="23">
        <v>0</v>
      </c>
      <c r="I197" s="24">
        <f t="shared" ref="I197:I260" si="3">SUM(B197:H197)</f>
        <v>10092.23</v>
      </c>
    </row>
    <row r="198" spans="1:9">
      <c r="A198" t="s">
        <v>547</v>
      </c>
      <c r="B198" s="23">
        <v>0</v>
      </c>
      <c r="C198" s="23">
        <v>0</v>
      </c>
      <c r="D198" s="23">
        <v>0</v>
      </c>
      <c r="E198" s="23">
        <v>0</v>
      </c>
      <c r="F198" s="23">
        <v>13808.88</v>
      </c>
      <c r="G198" s="23">
        <v>689.5</v>
      </c>
      <c r="H198" s="23">
        <v>0</v>
      </c>
      <c r="I198" s="24">
        <f t="shared" si="3"/>
        <v>14498.38</v>
      </c>
    </row>
    <row r="199" spans="1:9">
      <c r="A199" t="s">
        <v>550</v>
      </c>
      <c r="B199" s="23">
        <v>0</v>
      </c>
      <c r="C199" s="23">
        <v>0</v>
      </c>
      <c r="D199" s="23">
        <v>0</v>
      </c>
      <c r="E199" s="23">
        <v>0</v>
      </c>
      <c r="F199" s="23">
        <v>14216.85</v>
      </c>
      <c r="G199" s="23">
        <v>5174.53</v>
      </c>
      <c r="H199" s="23">
        <v>0</v>
      </c>
      <c r="I199" s="24">
        <f t="shared" si="3"/>
        <v>19391.38</v>
      </c>
    </row>
    <row r="200" spans="1:9">
      <c r="A200" t="s">
        <v>553</v>
      </c>
      <c r="B200" s="23">
        <v>0</v>
      </c>
      <c r="C200" s="23">
        <v>0</v>
      </c>
      <c r="D200" s="23">
        <v>0</v>
      </c>
      <c r="E200" s="23">
        <v>0</v>
      </c>
      <c r="F200" s="23">
        <v>11132.44</v>
      </c>
      <c r="G200" s="23">
        <v>3503.39</v>
      </c>
      <c r="H200" s="23">
        <v>0</v>
      </c>
      <c r="I200" s="24">
        <f t="shared" si="3"/>
        <v>14635.83</v>
      </c>
    </row>
    <row r="201" spans="1:9">
      <c r="A201" t="s">
        <v>556</v>
      </c>
      <c r="B201" s="23">
        <v>0</v>
      </c>
      <c r="C201" s="23">
        <v>0</v>
      </c>
      <c r="D201" s="23">
        <v>0</v>
      </c>
      <c r="E201" s="23">
        <v>0</v>
      </c>
      <c r="F201" s="23">
        <v>9397.34</v>
      </c>
      <c r="G201" s="23">
        <v>959.35</v>
      </c>
      <c r="H201" s="23">
        <v>0</v>
      </c>
      <c r="I201" s="24">
        <f t="shared" si="3"/>
        <v>10356.69</v>
      </c>
    </row>
    <row r="202" spans="1:9">
      <c r="A202" t="s">
        <v>559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5259.34</v>
      </c>
      <c r="H202" s="23">
        <v>0</v>
      </c>
      <c r="I202" s="24">
        <f t="shared" si="3"/>
        <v>5259.34</v>
      </c>
    </row>
    <row r="203" spans="1:9">
      <c r="A203" t="s">
        <v>562</v>
      </c>
      <c r="B203" s="23">
        <v>0</v>
      </c>
      <c r="C203" s="23">
        <v>0</v>
      </c>
      <c r="D203" s="23">
        <v>0</v>
      </c>
      <c r="E203" s="23">
        <v>0</v>
      </c>
      <c r="F203" s="23">
        <v>8046.48000000001</v>
      </c>
      <c r="G203" s="23">
        <v>0</v>
      </c>
      <c r="H203" s="23">
        <v>0</v>
      </c>
      <c r="I203" s="24">
        <f t="shared" si="3"/>
        <v>8046.48000000001</v>
      </c>
    </row>
    <row r="204" spans="1:9">
      <c r="A204" t="s">
        <v>565</v>
      </c>
      <c r="B204" s="23">
        <v>0</v>
      </c>
      <c r="C204" s="23">
        <v>0</v>
      </c>
      <c r="D204" s="23">
        <v>0</v>
      </c>
      <c r="E204" s="23">
        <v>0</v>
      </c>
      <c r="F204" s="23">
        <v>7333.45</v>
      </c>
      <c r="G204" s="23">
        <v>526.53</v>
      </c>
      <c r="H204" s="23">
        <v>0</v>
      </c>
      <c r="I204" s="24">
        <f t="shared" si="3"/>
        <v>7859.98</v>
      </c>
    </row>
    <row r="205" spans="1:9">
      <c r="A205" t="s">
        <v>568</v>
      </c>
      <c r="B205" s="23">
        <v>0</v>
      </c>
      <c r="C205" s="23">
        <v>0</v>
      </c>
      <c r="D205" s="23">
        <v>0</v>
      </c>
      <c r="E205" s="23">
        <v>0</v>
      </c>
      <c r="F205" s="23">
        <v>12544.11</v>
      </c>
      <c r="G205" s="23">
        <v>0</v>
      </c>
      <c r="H205" s="23">
        <v>0</v>
      </c>
      <c r="I205" s="24">
        <f t="shared" si="3"/>
        <v>12544.11</v>
      </c>
    </row>
    <row r="206" spans="1:9">
      <c r="A206" t="s">
        <v>571</v>
      </c>
      <c r="B206" s="23">
        <v>0</v>
      </c>
      <c r="C206" s="23">
        <v>0</v>
      </c>
      <c r="D206" s="23">
        <v>0</v>
      </c>
      <c r="E206" s="23">
        <v>0</v>
      </c>
      <c r="F206" s="23">
        <v>12829.16</v>
      </c>
      <c r="G206" s="23">
        <v>53.95</v>
      </c>
      <c r="H206" s="23">
        <v>0</v>
      </c>
      <c r="I206" s="24">
        <f t="shared" si="3"/>
        <v>12883.11</v>
      </c>
    </row>
    <row r="207" spans="1:9">
      <c r="A207" t="s">
        <v>574</v>
      </c>
      <c r="B207" s="23">
        <v>0</v>
      </c>
      <c r="C207" s="23">
        <v>0</v>
      </c>
      <c r="D207" s="23">
        <v>0</v>
      </c>
      <c r="E207" s="23">
        <v>0</v>
      </c>
      <c r="F207" s="23">
        <v>14.56</v>
      </c>
      <c r="G207" s="23">
        <v>11517.82</v>
      </c>
      <c r="H207" s="23">
        <v>0</v>
      </c>
      <c r="I207" s="24">
        <f t="shared" si="3"/>
        <v>11532.38</v>
      </c>
    </row>
    <row r="208" spans="1:9">
      <c r="A208" t="s">
        <v>577</v>
      </c>
      <c r="B208" s="23">
        <v>0</v>
      </c>
      <c r="C208" s="23">
        <v>0</v>
      </c>
      <c r="D208" s="23">
        <v>0</v>
      </c>
      <c r="E208" s="23">
        <v>0</v>
      </c>
      <c r="F208" s="23">
        <v>12751.34</v>
      </c>
      <c r="G208" s="23">
        <v>5388.39</v>
      </c>
      <c r="H208" s="23">
        <v>0</v>
      </c>
      <c r="I208" s="24">
        <f t="shared" si="3"/>
        <v>18139.73</v>
      </c>
    </row>
    <row r="209" spans="1:9">
      <c r="A209" t="s">
        <v>580</v>
      </c>
      <c r="B209" s="23">
        <v>0</v>
      </c>
      <c r="C209" s="23">
        <v>0</v>
      </c>
      <c r="D209" s="23">
        <v>0</v>
      </c>
      <c r="E209" s="23">
        <v>0</v>
      </c>
      <c r="F209" s="23">
        <v>2814.79</v>
      </c>
      <c r="G209" s="23">
        <v>0</v>
      </c>
      <c r="H209" s="23">
        <v>0</v>
      </c>
      <c r="I209" s="24">
        <f t="shared" si="3"/>
        <v>2814.79</v>
      </c>
    </row>
    <row r="210" spans="1:9">
      <c r="A210" t="s">
        <v>581</v>
      </c>
      <c r="B210" s="23">
        <v>0</v>
      </c>
      <c r="C210" s="23">
        <v>0</v>
      </c>
      <c r="D210" s="23">
        <v>0</v>
      </c>
      <c r="E210" s="23">
        <v>0</v>
      </c>
      <c r="F210" s="23">
        <v>14327.06</v>
      </c>
      <c r="G210" s="23">
        <v>963.61</v>
      </c>
      <c r="H210" s="23">
        <v>0</v>
      </c>
      <c r="I210" s="24">
        <f t="shared" si="3"/>
        <v>15290.67</v>
      </c>
    </row>
    <row r="211" spans="1:9">
      <c r="A211" t="s">
        <v>584</v>
      </c>
      <c r="B211" s="23">
        <v>0</v>
      </c>
      <c r="C211" s="23">
        <v>0</v>
      </c>
      <c r="D211" s="23">
        <v>0</v>
      </c>
      <c r="E211" s="23">
        <v>0</v>
      </c>
      <c r="F211" s="23">
        <v>15057.962</v>
      </c>
      <c r="G211" s="23">
        <v>0</v>
      </c>
      <c r="H211" s="23">
        <v>0</v>
      </c>
      <c r="I211" s="24">
        <f t="shared" si="3"/>
        <v>15057.962</v>
      </c>
    </row>
    <row r="212" spans="1:9">
      <c r="A212" t="s">
        <v>587</v>
      </c>
      <c r="B212" s="23">
        <v>0</v>
      </c>
      <c r="C212" s="23">
        <v>0</v>
      </c>
      <c r="D212" s="23">
        <v>0</v>
      </c>
      <c r="E212" s="23">
        <v>0</v>
      </c>
      <c r="F212" s="23">
        <v>17315.08</v>
      </c>
      <c r="G212" s="23">
        <v>4842</v>
      </c>
      <c r="H212" s="23">
        <v>0</v>
      </c>
      <c r="I212" s="24">
        <f t="shared" si="3"/>
        <v>22157.08</v>
      </c>
    </row>
    <row r="213" spans="1:9">
      <c r="A213" t="s">
        <v>588</v>
      </c>
      <c r="B213" s="23">
        <v>0</v>
      </c>
      <c r="C213" s="23">
        <v>0</v>
      </c>
      <c r="D213" s="23">
        <v>0</v>
      </c>
      <c r="E213" s="23">
        <v>0</v>
      </c>
      <c r="F213" s="23">
        <v>18722.1</v>
      </c>
      <c r="G213" s="23">
        <v>1086.14</v>
      </c>
      <c r="H213" s="23">
        <v>0</v>
      </c>
      <c r="I213" s="24">
        <f t="shared" si="3"/>
        <v>19808.24</v>
      </c>
    </row>
    <row r="214" spans="1:9">
      <c r="A214" t="s">
        <v>591</v>
      </c>
      <c r="B214" s="23">
        <v>0</v>
      </c>
      <c r="C214" s="23">
        <v>0</v>
      </c>
      <c r="D214" s="23">
        <v>0</v>
      </c>
      <c r="E214" s="23">
        <v>0</v>
      </c>
      <c r="F214" s="23">
        <v>12480.73</v>
      </c>
      <c r="G214" s="23">
        <v>135.17</v>
      </c>
      <c r="H214" s="23">
        <v>0</v>
      </c>
      <c r="I214" s="24">
        <f t="shared" si="3"/>
        <v>12615.9</v>
      </c>
    </row>
    <row r="215" spans="1:9">
      <c r="A215" t="s">
        <v>594</v>
      </c>
      <c r="B215" s="23">
        <v>0</v>
      </c>
      <c r="C215" s="23">
        <v>0</v>
      </c>
      <c r="D215" s="23">
        <v>0</v>
      </c>
      <c r="E215" s="23">
        <v>0</v>
      </c>
      <c r="F215" s="23">
        <v>8714.76</v>
      </c>
      <c r="G215" s="23">
        <v>316.37</v>
      </c>
      <c r="H215" s="23">
        <v>0</v>
      </c>
      <c r="I215" s="24">
        <f t="shared" si="3"/>
        <v>9031.13</v>
      </c>
    </row>
    <row r="216" spans="1:9">
      <c r="A216" t="s">
        <v>597</v>
      </c>
      <c r="B216" s="23">
        <v>0</v>
      </c>
      <c r="C216" s="23">
        <v>0</v>
      </c>
      <c r="D216" s="23">
        <v>0</v>
      </c>
      <c r="E216" s="23">
        <v>0</v>
      </c>
      <c r="F216" s="23">
        <v>9251.21000000001</v>
      </c>
      <c r="G216" s="23">
        <v>15.1</v>
      </c>
      <c r="H216" s="23">
        <v>0</v>
      </c>
      <c r="I216" s="24">
        <f t="shared" si="3"/>
        <v>9266.31000000001</v>
      </c>
    </row>
    <row r="217" spans="1:9">
      <c r="A217" t="s">
        <v>600</v>
      </c>
      <c r="B217" s="23">
        <v>0</v>
      </c>
      <c r="C217" s="23">
        <v>0</v>
      </c>
      <c r="D217" s="23">
        <v>0</v>
      </c>
      <c r="E217" s="23">
        <v>0</v>
      </c>
      <c r="F217" s="23">
        <v>6354.25</v>
      </c>
      <c r="G217" s="23">
        <v>5594.85</v>
      </c>
      <c r="H217" s="23">
        <v>0</v>
      </c>
      <c r="I217" s="24">
        <f t="shared" si="3"/>
        <v>11949.1</v>
      </c>
    </row>
    <row r="218" spans="1:9">
      <c r="A218" t="s">
        <v>603</v>
      </c>
      <c r="B218" s="23">
        <v>0</v>
      </c>
      <c r="C218" s="23">
        <v>0</v>
      </c>
      <c r="D218" s="23">
        <v>0</v>
      </c>
      <c r="E218" s="23">
        <v>0</v>
      </c>
      <c r="F218" s="23">
        <v>20424.08</v>
      </c>
      <c r="G218" s="23">
        <v>11412.08</v>
      </c>
      <c r="H218" s="23">
        <v>0</v>
      </c>
      <c r="I218" s="24">
        <f t="shared" si="3"/>
        <v>31836.16</v>
      </c>
    </row>
    <row r="219" spans="1:9">
      <c r="A219" t="s">
        <v>606</v>
      </c>
      <c r="B219" s="23">
        <v>0</v>
      </c>
      <c r="C219" s="23">
        <v>0</v>
      </c>
      <c r="D219" s="23">
        <v>0</v>
      </c>
      <c r="E219" s="23">
        <v>0</v>
      </c>
      <c r="F219" s="23">
        <v>8891.758</v>
      </c>
      <c r="G219" s="23">
        <v>0</v>
      </c>
      <c r="H219" s="23">
        <v>0</v>
      </c>
      <c r="I219" s="24">
        <f t="shared" si="3"/>
        <v>8891.758</v>
      </c>
    </row>
    <row r="220" spans="1:9">
      <c r="A220" t="s">
        <v>607</v>
      </c>
      <c r="B220" s="23">
        <v>0</v>
      </c>
      <c r="C220" s="23">
        <v>0</v>
      </c>
      <c r="D220" s="23">
        <v>0</v>
      </c>
      <c r="E220" s="23">
        <v>0</v>
      </c>
      <c r="F220" s="23">
        <v>8566.19</v>
      </c>
      <c r="G220" s="23">
        <v>524.11</v>
      </c>
      <c r="H220" s="23">
        <v>0</v>
      </c>
      <c r="I220" s="24">
        <f t="shared" si="3"/>
        <v>9090.3</v>
      </c>
    </row>
    <row r="221" spans="1:9">
      <c r="A221" t="s">
        <v>610</v>
      </c>
      <c r="B221" s="23">
        <v>0</v>
      </c>
      <c r="C221" s="23">
        <v>0</v>
      </c>
      <c r="D221" s="23">
        <v>0</v>
      </c>
      <c r="E221" s="23">
        <v>0</v>
      </c>
      <c r="F221" s="23">
        <v>793.81</v>
      </c>
      <c r="G221" s="23">
        <v>2377.35</v>
      </c>
      <c r="H221" s="23">
        <v>0</v>
      </c>
      <c r="I221" s="24">
        <f t="shared" si="3"/>
        <v>3171.16</v>
      </c>
    </row>
    <row r="222" spans="1:9">
      <c r="A222" t="s">
        <v>613</v>
      </c>
      <c r="B222" s="23">
        <v>0</v>
      </c>
      <c r="C222" s="23">
        <v>0</v>
      </c>
      <c r="D222" s="23">
        <v>0</v>
      </c>
      <c r="E222" s="23">
        <v>0</v>
      </c>
      <c r="F222" s="23">
        <v>14.25</v>
      </c>
      <c r="G222" s="23">
        <v>5560.76</v>
      </c>
      <c r="H222" s="23">
        <v>0</v>
      </c>
      <c r="I222" s="24">
        <f t="shared" si="3"/>
        <v>5575.01</v>
      </c>
    </row>
    <row r="223" spans="1:9">
      <c r="A223" t="s">
        <v>616</v>
      </c>
      <c r="B223" s="23">
        <v>0</v>
      </c>
      <c r="C223" s="23">
        <v>0</v>
      </c>
      <c r="D223" s="23">
        <v>0</v>
      </c>
      <c r="E223" s="23">
        <v>0</v>
      </c>
      <c r="F223" s="23">
        <v>30.03</v>
      </c>
      <c r="G223" s="23">
        <v>8458.64000000001</v>
      </c>
      <c r="H223" s="23">
        <v>0</v>
      </c>
      <c r="I223" s="24">
        <f t="shared" si="3"/>
        <v>8488.67000000001</v>
      </c>
    </row>
    <row r="224" spans="1:9">
      <c r="A224" t="s">
        <v>619</v>
      </c>
      <c r="B224" s="23">
        <v>0</v>
      </c>
      <c r="C224" s="23">
        <v>0</v>
      </c>
      <c r="D224" s="23">
        <v>0</v>
      </c>
      <c r="E224" s="23">
        <v>0</v>
      </c>
      <c r="F224" s="23">
        <v>0</v>
      </c>
      <c r="G224" s="23">
        <v>6705.2</v>
      </c>
      <c r="H224" s="23">
        <v>0</v>
      </c>
      <c r="I224" s="24">
        <f t="shared" si="3"/>
        <v>6705.2</v>
      </c>
    </row>
    <row r="225" spans="1:9">
      <c r="A225" t="s">
        <v>622</v>
      </c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194.95</v>
      </c>
      <c r="H225" s="23">
        <v>0</v>
      </c>
      <c r="I225" s="24">
        <f t="shared" si="3"/>
        <v>194.95</v>
      </c>
    </row>
    <row r="226" spans="1:9">
      <c r="A226" t="s">
        <v>625</v>
      </c>
      <c r="B226" s="23">
        <v>0</v>
      </c>
      <c r="C226" s="23">
        <v>0</v>
      </c>
      <c r="D226" s="23">
        <v>0</v>
      </c>
      <c r="E226" s="23">
        <v>0</v>
      </c>
      <c r="F226" s="23">
        <v>813.66</v>
      </c>
      <c r="G226" s="23">
        <v>18719.88</v>
      </c>
      <c r="H226" s="23">
        <v>0</v>
      </c>
      <c r="I226" s="24">
        <f t="shared" si="3"/>
        <v>19533.54</v>
      </c>
    </row>
    <row r="227" spans="1:9">
      <c r="A227" t="s">
        <v>626</v>
      </c>
      <c r="B227" s="23">
        <v>0</v>
      </c>
      <c r="C227" s="23">
        <v>0</v>
      </c>
      <c r="D227" s="23">
        <v>0</v>
      </c>
      <c r="E227" s="23">
        <v>0</v>
      </c>
      <c r="F227" s="23">
        <v>30.06</v>
      </c>
      <c r="G227" s="23">
        <v>17059.5</v>
      </c>
      <c r="H227" s="23">
        <v>0</v>
      </c>
      <c r="I227" s="24">
        <f t="shared" si="3"/>
        <v>17089.56</v>
      </c>
    </row>
    <row r="228" spans="1:9">
      <c r="A228" t="s">
        <v>629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8768.42000000001</v>
      </c>
      <c r="H228" s="23">
        <v>0</v>
      </c>
      <c r="I228" s="24">
        <f t="shared" si="3"/>
        <v>8768.42000000001</v>
      </c>
    </row>
    <row r="229" spans="1:9">
      <c r="A229" t="s">
        <v>632</v>
      </c>
      <c r="B229" s="23">
        <v>0</v>
      </c>
      <c r="C229" s="23">
        <v>0</v>
      </c>
      <c r="D229" s="23">
        <v>0</v>
      </c>
      <c r="E229" s="23">
        <v>0</v>
      </c>
      <c r="F229" s="23">
        <v>1708.28</v>
      </c>
      <c r="G229" s="23">
        <v>961.64</v>
      </c>
      <c r="H229" s="23">
        <v>0</v>
      </c>
      <c r="I229" s="24">
        <f t="shared" si="3"/>
        <v>2669.92</v>
      </c>
    </row>
    <row r="230" spans="1:9">
      <c r="A230" t="s">
        <v>633</v>
      </c>
      <c r="B230" s="23">
        <v>0</v>
      </c>
      <c r="C230" s="23">
        <v>0</v>
      </c>
      <c r="D230" s="23">
        <v>0</v>
      </c>
      <c r="E230" s="23">
        <v>0</v>
      </c>
      <c r="F230" s="23">
        <v>90.32</v>
      </c>
      <c r="G230" s="23">
        <v>9469.28</v>
      </c>
      <c r="H230" s="23">
        <v>0</v>
      </c>
      <c r="I230" s="24">
        <f t="shared" si="3"/>
        <v>9559.6</v>
      </c>
    </row>
    <row r="231" spans="1:9">
      <c r="A231" t="s">
        <v>636</v>
      </c>
      <c r="B231" s="23">
        <v>0</v>
      </c>
      <c r="C231" s="23">
        <v>0</v>
      </c>
      <c r="D231" s="23">
        <v>0</v>
      </c>
      <c r="E231" s="23">
        <v>0</v>
      </c>
      <c r="F231" s="23">
        <v>0</v>
      </c>
      <c r="G231" s="23">
        <v>1781.96</v>
      </c>
      <c r="H231" s="23">
        <v>0</v>
      </c>
      <c r="I231" s="24">
        <f t="shared" si="3"/>
        <v>1781.96</v>
      </c>
    </row>
    <row r="232" spans="1:9">
      <c r="A232" t="s">
        <v>639</v>
      </c>
      <c r="B232" s="23">
        <v>0</v>
      </c>
      <c r="C232" s="23">
        <v>0</v>
      </c>
      <c r="D232" s="23">
        <v>0</v>
      </c>
      <c r="E232" s="23">
        <v>0</v>
      </c>
      <c r="F232" s="23">
        <v>300.44</v>
      </c>
      <c r="G232" s="23">
        <v>12674.69</v>
      </c>
      <c r="H232" s="23">
        <v>0</v>
      </c>
      <c r="I232" s="24">
        <f t="shared" si="3"/>
        <v>12975.13</v>
      </c>
    </row>
    <row r="233" spans="1:9">
      <c r="A233" t="s">
        <v>642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2152.14</v>
      </c>
      <c r="H233" s="23">
        <v>0</v>
      </c>
      <c r="I233" s="24">
        <f t="shared" si="3"/>
        <v>2152.14</v>
      </c>
    </row>
    <row r="234" spans="1:9">
      <c r="A234" t="s">
        <v>645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13254.91</v>
      </c>
      <c r="H234" s="23">
        <v>0</v>
      </c>
      <c r="I234" s="24">
        <f t="shared" si="3"/>
        <v>13254.91</v>
      </c>
    </row>
    <row r="235" spans="1:9">
      <c r="A235" t="s">
        <v>648</v>
      </c>
      <c r="B235" s="23">
        <v>0</v>
      </c>
      <c r="C235" s="23">
        <v>0</v>
      </c>
      <c r="D235" s="23">
        <v>0</v>
      </c>
      <c r="E235" s="23">
        <v>0</v>
      </c>
      <c r="F235" s="23">
        <v>223.13</v>
      </c>
      <c r="G235" s="23">
        <v>11695.95</v>
      </c>
      <c r="H235" s="23">
        <v>0</v>
      </c>
      <c r="I235" s="24">
        <f t="shared" si="3"/>
        <v>11919.08</v>
      </c>
    </row>
    <row r="236" spans="1:9">
      <c r="A236" t="s">
        <v>651</v>
      </c>
      <c r="B236" s="23">
        <v>0</v>
      </c>
      <c r="C236" s="23">
        <v>0</v>
      </c>
      <c r="D236" s="23">
        <v>0</v>
      </c>
      <c r="E236" s="23">
        <v>0</v>
      </c>
      <c r="F236" s="23">
        <v>428.2</v>
      </c>
      <c r="G236" s="23">
        <v>14371.25</v>
      </c>
      <c r="H236" s="23">
        <v>15</v>
      </c>
      <c r="I236" s="24">
        <f t="shared" si="3"/>
        <v>14814.45</v>
      </c>
    </row>
    <row r="237" spans="1:9">
      <c r="A237" t="s">
        <v>654</v>
      </c>
      <c r="B237" s="23">
        <v>0</v>
      </c>
      <c r="C237" s="23">
        <v>0</v>
      </c>
      <c r="D237" s="23">
        <v>0</v>
      </c>
      <c r="E237" s="23">
        <v>0</v>
      </c>
      <c r="F237" s="23">
        <v>3647.06</v>
      </c>
      <c r="G237" s="23">
        <v>8419.88</v>
      </c>
      <c r="H237" s="23">
        <v>0</v>
      </c>
      <c r="I237" s="24">
        <f t="shared" si="3"/>
        <v>12066.94</v>
      </c>
    </row>
    <row r="238" spans="1:9">
      <c r="A238" t="s">
        <v>655</v>
      </c>
      <c r="B238" s="23">
        <v>0</v>
      </c>
      <c r="C238" s="23">
        <v>0</v>
      </c>
      <c r="D238" s="23">
        <v>0</v>
      </c>
      <c r="E238" s="23">
        <v>0</v>
      </c>
      <c r="F238" s="23">
        <v>14.9</v>
      </c>
      <c r="G238" s="23">
        <v>18367.6</v>
      </c>
      <c r="H238" s="23">
        <v>0</v>
      </c>
      <c r="I238" s="24">
        <f t="shared" si="3"/>
        <v>18382.5</v>
      </c>
    </row>
    <row r="239" spans="1:9">
      <c r="A239" t="s">
        <v>658</v>
      </c>
      <c r="B239" s="23">
        <v>0</v>
      </c>
      <c r="C239" s="23">
        <v>0</v>
      </c>
      <c r="D239" s="23">
        <v>0</v>
      </c>
      <c r="E239" s="23">
        <v>0</v>
      </c>
      <c r="F239" s="23">
        <v>14.59</v>
      </c>
      <c r="G239" s="23">
        <v>6065.19</v>
      </c>
      <c r="H239" s="23">
        <v>0</v>
      </c>
      <c r="I239" s="24">
        <f t="shared" si="3"/>
        <v>6079.78</v>
      </c>
    </row>
    <row r="240" spans="1:9">
      <c r="A240" t="s">
        <v>661</v>
      </c>
      <c r="B240" s="23">
        <v>0</v>
      </c>
      <c r="C240" s="23">
        <v>0</v>
      </c>
      <c r="D240" s="23">
        <v>0</v>
      </c>
      <c r="E240" s="23">
        <v>0</v>
      </c>
      <c r="F240" s="23">
        <v>7315.92</v>
      </c>
      <c r="G240" s="23">
        <v>1330.39</v>
      </c>
      <c r="H240" s="23">
        <v>4020.46</v>
      </c>
      <c r="I240" s="24">
        <f t="shared" si="3"/>
        <v>12666.77</v>
      </c>
    </row>
    <row r="241" spans="1:9">
      <c r="A241" t="s">
        <v>664</v>
      </c>
      <c r="B241" s="23">
        <v>0</v>
      </c>
      <c r="C241" s="23">
        <v>0</v>
      </c>
      <c r="D241" s="23">
        <v>0</v>
      </c>
      <c r="E241" s="23">
        <v>0</v>
      </c>
      <c r="F241" s="23">
        <v>6420.86</v>
      </c>
      <c r="G241" s="23">
        <v>120.1</v>
      </c>
      <c r="H241" s="23">
        <v>600.55</v>
      </c>
      <c r="I241" s="24">
        <f t="shared" si="3"/>
        <v>7141.51</v>
      </c>
    </row>
    <row r="242" spans="1:9">
      <c r="A242" t="s">
        <v>667</v>
      </c>
      <c r="B242" s="23">
        <v>0</v>
      </c>
      <c r="C242" s="23">
        <v>0</v>
      </c>
      <c r="D242" s="23">
        <v>0</v>
      </c>
      <c r="E242" s="23">
        <v>0</v>
      </c>
      <c r="F242" s="23">
        <v>8103.38</v>
      </c>
      <c r="G242" s="23">
        <v>2022.57</v>
      </c>
      <c r="H242" s="23">
        <v>1529.21</v>
      </c>
      <c r="I242" s="24">
        <f t="shared" si="3"/>
        <v>11655.16</v>
      </c>
    </row>
    <row r="243" spans="1:9">
      <c r="A243" t="s">
        <v>670</v>
      </c>
      <c r="B243" s="23">
        <v>0</v>
      </c>
      <c r="C243" s="23">
        <v>0</v>
      </c>
      <c r="D243" s="23">
        <v>0</v>
      </c>
      <c r="E243" s="23">
        <v>0</v>
      </c>
      <c r="F243" s="23">
        <v>25.23</v>
      </c>
      <c r="G243" s="23">
        <v>2578.49</v>
      </c>
      <c r="H243" s="23">
        <v>12634.91</v>
      </c>
      <c r="I243" s="24">
        <f t="shared" si="3"/>
        <v>15238.63</v>
      </c>
    </row>
    <row r="244" spans="1:9">
      <c r="A244" t="s">
        <v>673</v>
      </c>
      <c r="B244" s="23">
        <v>0</v>
      </c>
      <c r="C244" s="23">
        <v>0</v>
      </c>
      <c r="D244" s="23">
        <v>0</v>
      </c>
      <c r="E244" s="23">
        <v>0</v>
      </c>
      <c r="F244" s="23">
        <v>271.99</v>
      </c>
      <c r="G244" s="23">
        <v>8112.80000000001</v>
      </c>
      <c r="H244" s="23">
        <v>1826.53</v>
      </c>
      <c r="I244" s="24">
        <f t="shared" si="3"/>
        <v>10211.32</v>
      </c>
    </row>
    <row r="245" spans="1:9">
      <c r="A245" t="s">
        <v>676</v>
      </c>
      <c r="B245" s="23">
        <v>0</v>
      </c>
      <c r="C245" s="23">
        <v>0</v>
      </c>
      <c r="D245" s="23">
        <v>0</v>
      </c>
      <c r="E245" s="23">
        <v>0</v>
      </c>
      <c r="F245" s="23">
        <v>15.21</v>
      </c>
      <c r="G245" s="23">
        <v>3798.06</v>
      </c>
      <c r="H245" s="23">
        <v>5993.75000000001</v>
      </c>
      <c r="I245" s="24">
        <f t="shared" si="3"/>
        <v>9807.02000000001</v>
      </c>
    </row>
    <row r="246" spans="1:9">
      <c r="A246" t="s">
        <v>679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5487.54</v>
      </c>
      <c r="H246" s="23">
        <v>13891.62</v>
      </c>
      <c r="I246" s="24">
        <f t="shared" si="3"/>
        <v>19379.16</v>
      </c>
    </row>
    <row r="247" spans="1:9">
      <c r="A247" t="s">
        <v>682</v>
      </c>
      <c r="B247" s="23">
        <v>0</v>
      </c>
      <c r="C247" s="23">
        <v>0</v>
      </c>
      <c r="D247" s="23">
        <v>0</v>
      </c>
      <c r="E247" s="23">
        <v>0</v>
      </c>
      <c r="F247" s="23">
        <v>372.28</v>
      </c>
      <c r="G247" s="23">
        <v>7952.99</v>
      </c>
      <c r="H247" s="23">
        <v>741.13</v>
      </c>
      <c r="I247" s="24">
        <f t="shared" si="3"/>
        <v>9066.4</v>
      </c>
    </row>
    <row r="248" spans="1:9">
      <c r="A248" t="s">
        <v>685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5154.66</v>
      </c>
      <c r="H248" s="23">
        <v>8488.73</v>
      </c>
      <c r="I248" s="24">
        <f t="shared" si="3"/>
        <v>13643.39</v>
      </c>
    </row>
    <row r="249" spans="1:9">
      <c r="A249" t="s">
        <v>688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286.04</v>
      </c>
      <c r="H249" s="23">
        <v>12129.49</v>
      </c>
      <c r="I249" s="24">
        <f t="shared" si="3"/>
        <v>12415.53</v>
      </c>
    </row>
    <row r="250" spans="1:9">
      <c r="A250" t="s">
        <v>691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15.22</v>
      </c>
      <c r="H250" s="23">
        <v>7231.93999999999</v>
      </c>
      <c r="I250" s="24">
        <f t="shared" si="3"/>
        <v>7247.15999999999</v>
      </c>
    </row>
    <row r="251" spans="1:9">
      <c r="A251" t="s">
        <v>694</v>
      </c>
      <c r="B251" s="23">
        <v>0</v>
      </c>
      <c r="C251" s="23">
        <v>0</v>
      </c>
      <c r="D251" s="23">
        <v>0</v>
      </c>
      <c r="E251" s="23">
        <v>0</v>
      </c>
      <c r="F251" s="23">
        <v>98.19</v>
      </c>
      <c r="G251" s="23">
        <v>7369.56</v>
      </c>
      <c r="H251" s="23">
        <v>4432.18</v>
      </c>
      <c r="I251" s="24">
        <f t="shared" si="3"/>
        <v>11899.93</v>
      </c>
    </row>
    <row r="252" spans="1:9">
      <c r="A252" t="s">
        <v>697</v>
      </c>
      <c r="B252" s="23">
        <v>0</v>
      </c>
      <c r="C252" s="23">
        <v>0</v>
      </c>
      <c r="D252" s="23">
        <v>0</v>
      </c>
      <c r="E252" s="23">
        <v>0</v>
      </c>
      <c r="F252" s="23">
        <v>14.53</v>
      </c>
      <c r="G252" s="23">
        <v>2298.77</v>
      </c>
      <c r="H252" s="23">
        <v>10602.36</v>
      </c>
      <c r="I252" s="24">
        <f t="shared" si="3"/>
        <v>12915.66</v>
      </c>
    </row>
    <row r="253" spans="1:9">
      <c r="A253" t="s">
        <v>700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30.3</v>
      </c>
      <c r="H253" s="23">
        <v>13926.44</v>
      </c>
      <c r="I253" s="24">
        <f t="shared" si="3"/>
        <v>13956.74</v>
      </c>
    </row>
    <row r="254" spans="1:9">
      <c r="A254" t="s">
        <v>703</v>
      </c>
      <c r="B254" s="23">
        <v>0</v>
      </c>
      <c r="C254" s="23">
        <v>0</v>
      </c>
      <c r="D254" s="23">
        <v>0</v>
      </c>
      <c r="E254" s="23">
        <v>0</v>
      </c>
      <c r="F254" s="23">
        <v>29.44</v>
      </c>
      <c r="G254" s="23">
        <v>405.32</v>
      </c>
      <c r="H254" s="23">
        <v>6945.24</v>
      </c>
      <c r="I254" s="24">
        <f t="shared" si="3"/>
        <v>7380</v>
      </c>
    </row>
    <row r="255" spans="1:9">
      <c r="A255" t="s">
        <v>706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13344.73</v>
      </c>
      <c r="I255" s="24">
        <f t="shared" si="3"/>
        <v>13344.73</v>
      </c>
    </row>
    <row r="256" spans="1:9">
      <c r="A256" t="s">
        <v>709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9645.85000000002</v>
      </c>
      <c r="I256" s="24">
        <f t="shared" si="3"/>
        <v>9645.85000000002</v>
      </c>
    </row>
    <row r="257" spans="1:9">
      <c r="A257" t="s">
        <v>712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6151.82</v>
      </c>
      <c r="I257" s="24">
        <f t="shared" si="3"/>
        <v>6151.82</v>
      </c>
    </row>
    <row r="258" spans="1:9">
      <c r="A258" t="s">
        <v>715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3228.67</v>
      </c>
      <c r="I258" s="24">
        <f t="shared" si="3"/>
        <v>3228.67</v>
      </c>
    </row>
    <row r="259" spans="1:9">
      <c r="A259" t="s">
        <v>716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4658.21</v>
      </c>
      <c r="I259" s="24">
        <f t="shared" si="3"/>
        <v>4658.21</v>
      </c>
    </row>
    <row r="260" spans="1:9">
      <c r="A260" t="s">
        <v>719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17070.22</v>
      </c>
      <c r="I260" s="24">
        <f t="shared" si="3"/>
        <v>17070.22</v>
      </c>
    </row>
    <row r="261" spans="1:9">
      <c r="A261" t="s">
        <v>722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7785.97000000001</v>
      </c>
      <c r="I261" s="24">
        <f>SUM(B261:H261)</f>
        <v>7785.97000000001</v>
      </c>
    </row>
  </sheetData>
  <mergeCells count="1">
    <mergeCell ref="B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9"/>
  <sheetViews>
    <sheetView topLeftCell="A181" workbookViewId="0">
      <selection activeCell="C181" sqref="C$1:D$1048576"/>
    </sheetView>
  </sheetViews>
  <sheetFormatPr defaultColWidth="9.14285714285714" defaultRowHeight="15" outlineLevelCol="3"/>
  <cols>
    <col min="2" max="2" width="42" customWidth="1"/>
    <col min="3" max="3" width="20" customWidth="1"/>
  </cols>
  <sheetData>
    <row r="1" spans="1:4">
      <c r="A1" t="s">
        <v>753</v>
      </c>
      <c r="B1" t="s">
        <v>754</v>
      </c>
      <c r="C1" t="s">
        <v>755</v>
      </c>
      <c r="D1" t="s">
        <v>756</v>
      </c>
    </row>
    <row r="2" spans="1:4">
      <c r="A2" s="11" t="s">
        <v>3</v>
      </c>
      <c r="B2" t="str" cm="1">
        <f t="array" ref="B2:B259">_xlfn.XLOOKUP(A2:A259,Sheet2!C5:C521,Sheet2!K5:K521)</f>
        <v>-7.342673079032825, 108.14548238658637</v>
      </c>
      <c r="C2" t="str" cm="1">
        <f t="array" ref="C2:D2">_xlfn.TEXTSPLIT(B2,",")</f>
        <v>-7.342673079032825</v>
      </c>
      <c r="D2" t="str">
        <v> 108.14548238658637</v>
      </c>
    </row>
    <row r="3" spans="1:4">
      <c r="A3" s="11" t="s">
        <v>6</v>
      </c>
      <c r="B3" t="str">
        <v>-7.39144708801219, 108.52692614876827</v>
      </c>
      <c r="C3" t="str" cm="1">
        <f t="array" ref="C3:D3">_xlfn.TEXTSPLIT(B3,",")</f>
        <v>-7.39144708801219</v>
      </c>
      <c r="D3" t="str">
        <v> 108.52692614876827</v>
      </c>
    </row>
    <row r="4" spans="1:4">
      <c r="A4" s="11" t="s">
        <v>9</v>
      </c>
      <c r="B4" t="str">
        <v>-7.17497, 108.16981</v>
      </c>
      <c r="C4" t="str" cm="1">
        <f t="array" ref="C4:D4">_xlfn.TEXTSPLIT(B4,",")</f>
        <v>-7.17497</v>
      </c>
      <c r="D4" t="str">
        <v> 108.16981</v>
      </c>
    </row>
    <row r="5" spans="1:4">
      <c r="A5" s="11" t="s">
        <v>12</v>
      </c>
      <c r="B5" t="str">
        <v>-7.360806, 108.236472</v>
      </c>
      <c r="C5" t="str" cm="1">
        <f t="array" ref="C5:D5">_xlfn.TEXTSPLIT(B5,",")</f>
        <v>-7.360806</v>
      </c>
      <c r="D5" t="str">
        <v> 108.236472</v>
      </c>
    </row>
    <row r="6" spans="1:4">
      <c r="A6" s="11" t="s">
        <v>15</v>
      </c>
      <c r="B6" t="str">
        <v>-7.35581, 108.41117</v>
      </c>
      <c r="C6" t="str" cm="1">
        <f t="array" ref="C6:D6">_xlfn.TEXTSPLIT(B6,",")</f>
        <v>-7.35581</v>
      </c>
      <c r="D6" t="str">
        <v> 108.41117</v>
      </c>
    </row>
    <row r="7" spans="1:4">
      <c r="A7" s="11" t="s">
        <v>18</v>
      </c>
      <c r="B7" t="str">
        <v>-7.342213097834306, 108.49610930074994</v>
      </c>
      <c r="C7" t="str" cm="1">
        <f t="array" ref="C7:D7">_xlfn.TEXTSPLIT(B7,",")</f>
        <v>-7.342213097834306</v>
      </c>
      <c r="D7" t="str">
        <v> 108.49610930074994</v>
      </c>
    </row>
    <row r="8" spans="1:4">
      <c r="A8" s="11" t="s">
        <v>21</v>
      </c>
      <c r="B8" t="str">
        <v>-7.461214693622029, 108.19437425760387</v>
      </c>
      <c r="C8" t="str" cm="1">
        <f t="array" ref="C8:D8">_xlfn.TEXTSPLIT(B8,",")</f>
        <v>-7.461214693622029</v>
      </c>
      <c r="D8" t="str">
        <v> 108.19437425760387</v>
      </c>
    </row>
    <row r="9" spans="1:4">
      <c r="A9" s="11" t="s">
        <v>24</v>
      </c>
      <c r="B9" t="str">
        <v>-7.33397, 108.23797</v>
      </c>
      <c r="C9" t="str" cm="1">
        <f t="array" ref="C9:D9">_xlfn.TEXTSPLIT(B9,",")</f>
        <v>-7.33397</v>
      </c>
      <c r="D9" t="str">
        <v> 108.23797</v>
      </c>
    </row>
    <row r="10" spans="1:4">
      <c r="A10" s="11" t="s">
        <v>27</v>
      </c>
      <c r="B10" t="str">
        <v>-7.342673079032825, 108.14548238658637</v>
      </c>
      <c r="C10" t="str" cm="1">
        <f t="array" ref="C10:D10">_xlfn.TEXTSPLIT(B10,",")</f>
        <v>-7.342673079032825</v>
      </c>
      <c r="D10" t="str">
        <v> 108.14548238658637</v>
      </c>
    </row>
    <row r="11" spans="1:4">
      <c r="A11" s="11" t="s">
        <v>28</v>
      </c>
      <c r="B11" t="str">
        <v>-7.578706, 108.168318</v>
      </c>
      <c r="C11" t="str" cm="1">
        <f t="array" ref="C11:D11">_xlfn.TEXTSPLIT(B11,",")</f>
        <v>-7.578706</v>
      </c>
      <c r="D11" t="str">
        <v> 108.168318</v>
      </c>
    </row>
    <row r="12" spans="1:4">
      <c r="A12" s="11" t="s">
        <v>31</v>
      </c>
      <c r="B12" t="str">
        <v>-7.236866699482173, 108.1897214365848</v>
      </c>
      <c r="C12" t="str" cm="1">
        <f t="array" ref="C12:D12">_xlfn.TEXTSPLIT(B12,",")</f>
        <v>-7.236866699482173</v>
      </c>
      <c r="D12" t="str">
        <v> 108.1897214365848</v>
      </c>
    </row>
    <row r="13" spans="1:4">
      <c r="A13" s="11" t="s">
        <v>34</v>
      </c>
      <c r="B13" t="str">
        <v>-7.669845, 108.725625</v>
      </c>
      <c r="C13" t="str" cm="1">
        <f t="array" ref="C13:D13">_xlfn.TEXTSPLIT(B13,",")</f>
        <v>-7.669845</v>
      </c>
      <c r="D13" t="str">
        <v> 108.725625</v>
      </c>
    </row>
    <row r="14" spans="1:4">
      <c r="A14" s="11" t="s">
        <v>37</v>
      </c>
      <c r="B14" t="str">
        <v>-7.559031074406454, 110.89352253225702</v>
      </c>
      <c r="C14" t="str" cm="1">
        <f t="array" ref="C14:D14">_xlfn.TEXTSPLIT(B14,",")</f>
        <v>-7.559031074406454</v>
      </c>
      <c r="D14" t="str">
        <v> 110.89352253225702</v>
      </c>
    </row>
    <row r="15" spans="1:4">
      <c r="A15" s="11" t="s">
        <v>40</v>
      </c>
      <c r="B15" t="str">
        <v>-7.534370037375159, 110.670643530622</v>
      </c>
      <c r="C15" t="str" cm="1">
        <f t="array" ref="C15:D15">_xlfn.TEXTSPLIT(B15,",")</f>
        <v>-7.534370037375159</v>
      </c>
      <c r="D15" t="str">
        <v> 110.670643530622</v>
      </c>
    </row>
    <row r="16" spans="1:4">
      <c r="A16" s="11" t="s">
        <v>43</v>
      </c>
      <c r="B16" t="str">
        <v>-7.772312, 110.479018</v>
      </c>
      <c r="C16" t="str" cm="1">
        <f t="array" ref="C16:D16">_xlfn.TEXTSPLIT(B16,",")</f>
        <v>-7.772312</v>
      </c>
      <c r="D16" t="str">
        <v> 110.479018</v>
      </c>
    </row>
    <row r="17" spans="1:4">
      <c r="A17" s="11" t="s">
        <v>46</v>
      </c>
      <c r="B17" t="str">
        <v>-7.8376955055289725, 110.44035065392153</v>
      </c>
      <c r="C17" t="str" cm="1">
        <f t="array" ref="C17:D17">_xlfn.TEXTSPLIT(B17,",")</f>
        <v>-7.8376955055289725</v>
      </c>
      <c r="D17" t="str">
        <v> 110.44035065392153</v>
      </c>
    </row>
    <row r="18" spans="1:4">
      <c r="A18" s="11" t="s">
        <v>49</v>
      </c>
      <c r="B18" t="str">
        <v>-7.41365947333945, 109.16603801363874</v>
      </c>
      <c r="C18" t="str" cm="1">
        <f t="array" ref="C18:D18">_xlfn.TEXTSPLIT(B18,",")</f>
        <v>-7.41365947333945</v>
      </c>
      <c r="D18" t="str">
        <v> 109.16603801363874</v>
      </c>
    </row>
    <row r="19" spans="1:4">
      <c r="A19" s="11" t="s">
        <v>52</v>
      </c>
      <c r="B19" t="str">
        <v>-7.860468661407782, 110.2325075870884</v>
      </c>
      <c r="C19" t="str" cm="1">
        <f t="array" ref="C19:D19">_xlfn.TEXTSPLIT(B19,",")</f>
        <v>-7.860468661407782</v>
      </c>
      <c r="D19" t="str">
        <v> 110.2325075870884</v>
      </c>
    </row>
    <row r="20" spans="1:4">
      <c r="A20" s="11" t="s">
        <v>55</v>
      </c>
      <c r="B20" t="str">
        <v>-7.820790048311466, 110.99722440861562</v>
      </c>
      <c r="C20" t="str" cm="1">
        <f t="array" ref="C20:D20">_xlfn.TEXTSPLIT(B20,",")</f>
        <v>-7.820790048311466</v>
      </c>
      <c r="D20" t="str">
        <v> 110.99722440861562</v>
      </c>
    </row>
    <row r="21" spans="1:4">
      <c r="A21" s="11" t="s">
        <v>58</v>
      </c>
      <c r="B21" t="str">
        <v>-7.200739090673931, 109.02164181031713</v>
      </c>
      <c r="C21" t="str" cm="1">
        <f t="array" ref="C21:D21">_xlfn.TEXTSPLIT(B21,",")</f>
        <v>-7.200739090673931</v>
      </c>
      <c r="D21" t="str">
        <v> 109.02164181031713</v>
      </c>
    </row>
    <row r="22" spans="1:4">
      <c r="A22" s="11" t="s">
        <v>61</v>
      </c>
      <c r="B22" t="str">
        <v>-7.54198, 110.860695</v>
      </c>
      <c r="C22" t="str" cm="1">
        <f t="array" ref="C22:D22">_xlfn.TEXTSPLIT(B22,",")</f>
        <v>-7.54198</v>
      </c>
      <c r="D22" t="str">
        <v> 110.860695</v>
      </c>
    </row>
    <row r="23" spans="1:4">
      <c r="A23" s="11" t="s">
        <v>64</v>
      </c>
      <c r="B23" t="str">
        <v>-7.559031074406454, 110.89352253225702</v>
      </c>
      <c r="C23" t="str" cm="1">
        <f t="array" ref="C23:D23">_xlfn.TEXTSPLIT(B23,",")</f>
        <v>-7.559031074406454</v>
      </c>
      <c r="D23" t="str">
        <v> 110.89352253225702</v>
      </c>
    </row>
    <row r="24" spans="1:4">
      <c r="A24" s="11" t="s">
        <v>65</v>
      </c>
      <c r="B24" t="str">
        <v>-7.772312, 110.479018</v>
      </c>
      <c r="C24" t="str" cm="1">
        <f t="array" ref="C24:D24">_xlfn.TEXTSPLIT(B24,",")</f>
        <v>-7.772312</v>
      </c>
      <c r="D24" t="str">
        <v> 110.479018</v>
      </c>
    </row>
    <row r="25" spans="1:4">
      <c r="A25" s="11" t="s">
        <v>66</v>
      </c>
      <c r="B25" t="str">
        <v>-7.668600861951328, 110.66345069961939</v>
      </c>
      <c r="C25" t="str" cm="1">
        <f t="array" ref="C25:D25">_xlfn.TEXTSPLIT(B25,",")</f>
        <v>-7.668600861951328</v>
      </c>
      <c r="D25" t="str">
        <v> 110.66345069961939</v>
      </c>
    </row>
    <row r="26" spans="1:4">
      <c r="A26" s="11" t="s">
        <v>69</v>
      </c>
      <c r="B26" t="str">
        <v>-7.725106975148485, 110.55341673077949</v>
      </c>
      <c r="C26" t="str" cm="1">
        <f t="array" ref="C26:D26">_xlfn.TEXTSPLIT(B26,",")</f>
        <v>-7.725106975148485</v>
      </c>
      <c r="D26" t="str">
        <v> 110.55341673077949</v>
      </c>
    </row>
    <row r="27" spans="1:4">
      <c r="A27" s="11" t="s">
        <v>72</v>
      </c>
      <c r="B27" t="str">
        <v>-7.56900005567449, 109.22120285352376</v>
      </c>
      <c r="C27" t="str" cm="1">
        <f t="array" ref="C27:D27">_xlfn.TEXTSPLIT(B27,",")</f>
        <v>-7.56900005567449</v>
      </c>
      <c r="D27" t="str">
        <v> 109.22120285352376</v>
      </c>
    </row>
    <row r="28" spans="1:4">
      <c r="A28" s="11" t="s">
        <v>75</v>
      </c>
      <c r="B28" t="str">
        <v>-7.855615046548878, 110.21587527421396</v>
      </c>
      <c r="C28" t="str" cm="1">
        <f t="array" ref="C28:D28">_xlfn.TEXTSPLIT(B28,",")</f>
        <v>-7.855615046548878</v>
      </c>
      <c r="D28" t="str">
        <v> 110.21587527421396</v>
      </c>
    </row>
    <row r="29" spans="1:4">
      <c r="A29" s="11" t="s">
        <v>78</v>
      </c>
      <c r="B29" t="str">
        <v>-7.8376955055289725, 110.44035065392153</v>
      </c>
      <c r="C29" t="str" cm="1">
        <f t="array" ref="C29:D29">_xlfn.TEXTSPLIT(B29,",")</f>
        <v>-7.8376955055289725</v>
      </c>
      <c r="D29" t="str">
        <v> 110.44035065392153</v>
      </c>
    </row>
    <row r="30" spans="1:4">
      <c r="A30" s="11" t="s">
        <v>79</v>
      </c>
      <c r="B30" t="str">
        <v>-7.490679905427981, 109.29832881947348</v>
      </c>
      <c r="C30" t="str" cm="1">
        <f t="array" ref="C30:D30">_xlfn.TEXTSPLIT(B30,",")</f>
        <v>-7.490679905427981</v>
      </c>
      <c r="D30" t="str">
        <v> 109.29832881947348</v>
      </c>
    </row>
    <row r="31" spans="1:4">
      <c r="A31" s="11" t="s">
        <v>82</v>
      </c>
      <c r="B31" t="str">
        <v>-7.646711508931933, 110.81444737606694</v>
      </c>
      <c r="C31" t="str" cm="1">
        <f t="array" ref="C31:D31">_xlfn.TEXTSPLIT(B31,",")</f>
        <v>-7.646711508931933</v>
      </c>
      <c r="D31" t="str">
        <v> 110.81444737606694</v>
      </c>
    </row>
    <row r="32" spans="1:4">
      <c r="A32" s="11" t="s">
        <v>85</v>
      </c>
      <c r="B32" t="str">
        <v>-7.677336643939668, 110.33531301135666</v>
      </c>
      <c r="C32" t="str" cm="1">
        <f t="array" ref="C32:D32">_xlfn.TEXTSPLIT(B32,",")</f>
        <v>-7.677336643939668</v>
      </c>
      <c r="D32" t="str">
        <v> 110.33531301135666</v>
      </c>
    </row>
    <row r="33" spans="1:4">
      <c r="A33" s="11" t="s">
        <v>88</v>
      </c>
      <c r="B33" t="str">
        <v>-7.895372236427339, 110.35554370566547</v>
      </c>
      <c r="C33" t="str" cm="1">
        <f t="array" ref="C33:D33">_xlfn.TEXTSPLIT(B33,",")</f>
        <v>-7.895372236427339</v>
      </c>
      <c r="D33" t="str">
        <v> 110.35554370566547</v>
      </c>
    </row>
    <row r="34" spans="1:4">
      <c r="A34" s="11" t="s">
        <v>91</v>
      </c>
      <c r="B34" t="str">
        <v>-7.943939213444207, 110.61457149840915</v>
      </c>
      <c r="C34" t="str" cm="1">
        <f t="array" ref="C34:D34">_xlfn.TEXTSPLIT(B34,",")</f>
        <v>-7.943939213444207</v>
      </c>
      <c r="D34" t="str">
        <v> 110.61457149840915</v>
      </c>
    </row>
    <row r="35" spans="1:4">
      <c r="A35" s="11" t="s">
        <v>94</v>
      </c>
      <c r="B35" t="str">
        <v>-7.607522364487618, 109.47420122175296</v>
      </c>
      <c r="C35" t="str" cm="1">
        <f t="array" ref="C35:D35">_xlfn.TEXTSPLIT(B35,",")</f>
        <v>-7.607522364487618</v>
      </c>
      <c r="D35" t="str">
        <v> 109.47420122175296</v>
      </c>
    </row>
    <row r="36" spans="1:4">
      <c r="A36" s="11" t="s">
        <v>97</v>
      </c>
      <c r="B36" t="str">
        <v>-7.534370037375159, 110.670643530622</v>
      </c>
      <c r="C36" t="str" cm="1">
        <f t="array" ref="C36:D36">_xlfn.TEXTSPLIT(B36,",")</f>
        <v>-7.534370037375159</v>
      </c>
      <c r="D36" t="str">
        <v> 110.670643530622</v>
      </c>
    </row>
    <row r="37" spans="1:4">
      <c r="A37" s="11" t="s">
        <v>98</v>
      </c>
      <c r="B37" t="str">
        <v>-7.527268893950364, 110.1816665771205</v>
      </c>
      <c r="C37" t="str" cm="1">
        <f t="array" ref="C37:D37">_xlfn.TEXTSPLIT(B37,",")</f>
        <v>-7.527268893950364</v>
      </c>
      <c r="D37" t="str">
        <v> 110.1816665771205</v>
      </c>
    </row>
    <row r="38" spans="1:4">
      <c r="A38" s="11" t="s">
        <v>101</v>
      </c>
      <c r="B38" t="str">
        <v>-7.411083225910119, 109.64265275971815</v>
      </c>
      <c r="C38" t="str" cm="1">
        <f t="array" ref="C38:D38">_xlfn.TEXTSPLIT(B38,",")</f>
        <v>-7.411083225910119</v>
      </c>
      <c r="D38" t="str">
        <v> 109.64265275971815</v>
      </c>
    </row>
    <row r="39" spans="1:4">
      <c r="A39" s="11" t="s">
        <v>104</v>
      </c>
      <c r="B39" t="str">
        <v>-7.6931544393299705, 109.68699059268911</v>
      </c>
      <c r="C39" t="str" cm="1">
        <f t="array" ref="C39:D39">_xlfn.TEXTSPLIT(B39,",")</f>
        <v>-7.6931544393299705</v>
      </c>
      <c r="D39" t="str">
        <v> 109.68699059268911</v>
      </c>
    </row>
    <row r="40" spans="1:4">
      <c r="A40" s="11" t="s">
        <v>107</v>
      </c>
      <c r="B40" t="str">
        <v>-7.362046275383315, 111.12281202099176</v>
      </c>
      <c r="C40" t="str" cm="1">
        <f t="array" ref="C40:D40">_xlfn.TEXTSPLIT(B40,",")</f>
        <v>-7.362046275383315</v>
      </c>
      <c r="D40" t="str">
        <v> 111.12281202099176</v>
      </c>
    </row>
    <row r="41" spans="1:4">
      <c r="A41" s="11" t="s">
        <v>110</v>
      </c>
      <c r="B41" t="str">
        <v>-7.427914540828995, 109.44212493313681</v>
      </c>
      <c r="C41" t="str" cm="1">
        <f t="array" ref="C41:D41">_xlfn.TEXTSPLIT(B41,",")</f>
        <v>-7.427914540828995</v>
      </c>
      <c r="D41" t="str">
        <v> 109.44212493313681</v>
      </c>
    </row>
    <row r="42" spans="1:4">
      <c r="A42" s="11" t="s">
        <v>113</v>
      </c>
      <c r="B42" t="str">
        <v>-7.355706367777189, 110.2215538161872</v>
      </c>
      <c r="C42" t="str" cm="1">
        <f t="array" ref="C42:D42">_xlfn.TEXTSPLIT(B42,",")</f>
        <v>-7.355706367777189</v>
      </c>
      <c r="D42" t="str">
        <v> 110.2215538161872</v>
      </c>
    </row>
    <row r="43" spans="1:4">
      <c r="A43" s="11" t="s">
        <v>116</v>
      </c>
      <c r="B43" t="str">
        <v>-7.641375194652337, 109.57943912911114</v>
      </c>
      <c r="C43" t="str" cm="1">
        <f t="array" ref="C43:D43">_xlfn.TEXTSPLIT(B43,",")</f>
        <v>-7.641375194652337</v>
      </c>
      <c r="D43" t="str">
        <v> 109.57943912911114</v>
      </c>
    </row>
    <row r="44" spans="1:4">
      <c r="A44" s="11" t="s">
        <v>119</v>
      </c>
      <c r="B44" t="str">
        <v>-7.724162755374904, 109.8734108076605</v>
      </c>
      <c r="C44" t="str" cm="1">
        <f t="array" ref="C44:D44">_xlfn.TEXTSPLIT(B44,",")</f>
        <v>-7.724162755374904</v>
      </c>
      <c r="D44" t="str">
        <v> 109.8734108076605</v>
      </c>
    </row>
    <row r="45" spans="1:4">
      <c r="A45" s="11" t="s">
        <v>122</v>
      </c>
      <c r="B45" t="str">
        <v>-7.690892, 109.004902</v>
      </c>
      <c r="C45" t="str" cm="1">
        <f t="array" ref="C45:D45">_xlfn.TEXTSPLIT(B45,",")</f>
        <v>-7.690892</v>
      </c>
      <c r="D45" t="str">
        <v> 109.004902</v>
      </c>
    </row>
    <row r="46" spans="1:4">
      <c r="A46" s="11" t="s">
        <v>125</v>
      </c>
      <c r="B46" t="str">
        <v>-7.690892, 109.004902</v>
      </c>
      <c r="C46" t="str" cm="1">
        <f t="array" ref="C46:D46">_xlfn.TEXTSPLIT(B46,",")</f>
        <v>-7.690892</v>
      </c>
      <c r="D46" t="str">
        <v> 109.004902</v>
      </c>
    </row>
    <row r="47" spans="1:4">
      <c r="A47" s="11" t="s">
        <v>126</v>
      </c>
      <c r="B47" t="str">
        <v>-7.425829605193342, 109.84918854149785</v>
      </c>
      <c r="C47" t="str" cm="1">
        <f t="array" ref="C47:D47">_xlfn.TEXTSPLIT(B47,",")</f>
        <v>-7.425829605193342</v>
      </c>
      <c r="D47" t="str">
        <v> 109.84918854149785</v>
      </c>
    </row>
    <row r="48" spans="1:4">
      <c r="A48" s="11" t="s">
        <v>129</v>
      </c>
      <c r="B48" t="str">
        <v>-7.802594789010798, 110.28117122960194</v>
      </c>
      <c r="C48" t="str" cm="1">
        <f t="array" ref="C48:D48">_xlfn.TEXTSPLIT(B48,",")</f>
        <v>-7.802594789010798</v>
      </c>
      <c r="D48" t="str">
        <v> 110.28117122960194</v>
      </c>
    </row>
    <row r="49" spans="1:4">
      <c r="A49" s="11" t="s">
        <v>132</v>
      </c>
      <c r="B49" s="25" t="str">
        <v>-7.369306, 109.667583</v>
      </c>
      <c r="C49" t="str" cm="1">
        <f t="array" ref="C49:D49">_xlfn.TEXTSPLIT(B49,",")</f>
        <v>-7.369306</v>
      </c>
      <c r="D49" t="str">
        <v> 109.667583</v>
      </c>
    </row>
    <row r="50" spans="1:4">
      <c r="A50" s="11" t="s">
        <v>135</v>
      </c>
      <c r="B50" t="str">
        <v>-7.491112291478524, 110.23610399687507</v>
      </c>
      <c r="C50" t="str" cm="1">
        <f t="array" ref="C50:D50">_xlfn.TEXTSPLIT(B50,",")</f>
        <v>-7.491112291478524</v>
      </c>
      <c r="D50" t="str">
        <v> 110.23610399687507</v>
      </c>
    </row>
    <row r="51" spans="1:4">
      <c r="A51" s="11" t="s">
        <v>138</v>
      </c>
      <c r="B51" t="str">
        <v>-7.675616274044927, 110.65846723723693</v>
      </c>
      <c r="C51" t="str" cm="1">
        <f t="array" ref="C51:D51">_xlfn.TEXTSPLIT(B51,",")</f>
        <v>-7.675616274044927</v>
      </c>
      <c r="D51" t="str">
        <v> 110.65846723723693</v>
      </c>
    </row>
    <row r="52" spans="1:4">
      <c r="A52" s="11" t="s">
        <v>141</v>
      </c>
      <c r="B52" t="str">
        <v>-7.441049313981076, 109.07111636141991</v>
      </c>
      <c r="C52" t="str" cm="1">
        <f t="array" ref="C52:D52">_xlfn.TEXTSPLIT(B52,",")</f>
        <v>-7.441049313981076</v>
      </c>
      <c r="D52" t="str">
        <v> 109.07111636141991</v>
      </c>
    </row>
    <row r="53" spans="1:4">
      <c r="A53" s="11" t="s">
        <v>144</v>
      </c>
      <c r="B53" t="str">
        <v>-7.688281492397584, 109.63242331924042</v>
      </c>
      <c r="C53" t="str" cm="1">
        <f t="array" ref="C53:D53">_xlfn.TEXTSPLIT(B53,",")</f>
        <v>-7.688281492397584</v>
      </c>
      <c r="D53" t="str">
        <v> 109.63242331924042</v>
      </c>
    </row>
    <row r="54" spans="1:4">
      <c r="A54" s="11" t="s">
        <v>147</v>
      </c>
      <c r="B54" t="str">
        <v>-7.278442548105626, 110.12669826205153</v>
      </c>
      <c r="C54" t="str" cm="1">
        <f t="array" ref="C54:D54">_xlfn.TEXTSPLIT(B54,",")</f>
        <v>-7.278442548105626</v>
      </c>
      <c r="D54" t="str">
        <v> 110.12669826205153</v>
      </c>
    </row>
    <row r="55" spans="1:4">
      <c r="A55" s="11" t="s">
        <v>150</v>
      </c>
      <c r="B55" t="str">
        <v>-7.8073776581814105, 110.30991060420013</v>
      </c>
      <c r="C55" t="str" cm="1">
        <f t="array" ref="C55:D55">_xlfn.TEXTSPLIT(B55,",")</f>
        <v>-7.8073776581814105</v>
      </c>
      <c r="D55" t="str">
        <v> 110.30991060420013</v>
      </c>
    </row>
    <row r="56" spans="1:4">
      <c r="A56" s="11" t="s">
        <v>153</v>
      </c>
      <c r="B56" t="str">
        <v>-7.539542, 110.877827</v>
      </c>
      <c r="C56" t="str" cm="1">
        <f t="array" ref="C56:D56">_xlfn.TEXTSPLIT(B56,",")</f>
        <v>-7.539542</v>
      </c>
      <c r="D56" t="str">
        <v> 110.877827</v>
      </c>
    </row>
    <row r="57" spans="1:4">
      <c r="A57" s="11" t="s">
        <v>156</v>
      </c>
      <c r="B57" t="str">
        <v>-7.4259779697281, 108.88961668527935</v>
      </c>
      <c r="C57" t="str" cm="1">
        <f t="array" ref="C57:D57">_xlfn.TEXTSPLIT(B57,",")</f>
        <v>-7.4259779697281</v>
      </c>
      <c r="D57" t="str">
        <v> 108.88961668527935</v>
      </c>
    </row>
    <row r="58" spans="1:4">
      <c r="A58" s="11" t="s">
        <v>159</v>
      </c>
      <c r="B58" t="str">
        <v>-7.614874902680153, 110.05950288750033</v>
      </c>
      <c r="C58" t="str" cm="1">
        <f t="array" ref="C58:D58">_xlfn.TEXTSPLIT(B58,",")</f>
        <v>-7.614874902680153</v>
      </c>
      <c r="D58" t="str">
        <v> 110.05950288750033</v>
      </c>
    </row>
    <row r="59" spans="1:4">
      <c r="A59" s="11" t="s">
        <v>162</v>
      </c>
      <c r="B59" t="str">
        <v>-7.543421233191328, 110.85017964828774</v>
      </c>
      <c r="C59" t="str" cm="1">
        <f t="array" ref="C59:D59">_xlfn.TEXTSPLIT(B59,",")</f>
        <v>-7.543421233191328</v>
      </c>
      <c r="D59" t="str">
        <v> 110.85017964828774</v>
      </c>
    </row>
    <row r="60" spans="1:4">
      <c r="A60" s="11" t="s">
        <v>165</v>
      </c>
      <c r="B60" t="str">
        <v>-7.335835, 108.826847</v>
      </c>
      <c r="C60" t="str" cm="1">
        <f t="array" ref="C60:D60">_xlfn.TEXTSPLIT(B60,",")</f>
        <v>-7.335835</v>
      </c>
      <c r="D60" t="str">
        <v> 108.826847</v>
      </c>
    </row>
    <row r="61" spans="1:4">
      <c r="A61" s="11" t="s">
        <v>168</v>
      </c>
      <c r="B61" t="str">
        <v>-7.358121406901272, 109.35535490718554</v>
      </c>
      <c r="C61" t="str" cm="1">
        <f t="array" ref="C61:D61">_xlfn.TEXTSPLIT(B61,",")</f>
        <v>-7.358121406901272</v>
      </c>
      <c r="D61" t="str">
        <v> 109.35535490718554</v>
      </c>
    </row>
    <row r="62" spans="1:4">
      <c r="A62" s="11" t="s">
        <v>171</v>
      </c>
      <c r="B62" t="str">
        <v>-7.5613906219371385, 109.2088964784713</v>
      </c>
      <c r="C62" t="str" cm="1">
        <f t="array" ref="C62:D62">_xlfn.TEXTSPLIT(B62,",")</f>
        <v>-7.5613906219371385</v>
      </c>
      <c r="D62" t="str">
        <v> 109.2088964784713</v>
      </c>
    </row>
    <row r="63" spans="1:4">
      <c r="A63" s="11" t="s">
        <v>174</v>
      </c>
      <c r="B63" t="str">
        <v>-6.942981108835243, 108.93492750312272</v>
      </c>
      <c r="C63" t="str" cm="1">
        <f t="array" ref="C63:D63">_xlfn.TEXTSPLIT(B63,",")</f>
        <v>-6.942981108835243</v>
      </c>
      <c r="D63" t="str">
        <v> 108.93492750312272</v>
      </c>
    </row>
    <row r="64" spans="1:4">
      <c r="A64" s="11" t="s">
        <v>177</v>
      </c>
      <c r="B64" t="str">
        <v>-7.418807, 109.879901</v>
      </c>
      <c r="C64" t="str" cm="1">
        <f t="array" ref="C64:D64">_xlfn.TEXTSPLIT(B64,",")</f>
        <v>-7.418807</v>
      </c>
      <c r="D64" t="str">
        <v> 109.879901</v>
      </c>
    </row>
    <row r="65" spans="1:4">
      <c r="A65" s="11" t="s">
        <v>180</v>
      </c>
      <c r="B65" t="str">
        <v>-7.489524100090153, 108.99569941217185</v>
      </c>
      <c r="C65" t="str" cm="1">
        <f t="array" ref="C65:D65">_xlfn.TEXTSPLIT(B65,",")</f>
        <v>-7.489524100090153</v>
      </c>
      <c r="D65" t="str">
        <v> 108.99569941217185</v>
      </c>
    </row>
    <row r="66" spans="1:4">
      <c r="A66" s="11" t="s">
        <v>183</v>
      </c>
      <c r="B66" t="str">
        <v>-6.990661693471107, 110.33776120011518</v>
      </c>
      <c r="C66" t="str" cm="1">
        <f t="array" ref="C66:D66">_xlfn.TEXTSPLIT(B66,",")</f>
        <v>-6.990661693471107</v>
      </c>
      <c r="D66" t="str">
        <v> 110.33776120011518</v>
      </c>
    </row>
    <row r="67" spans="1:4">
      <c r="A67" s="11" t="s">
        <v>186</v>
      </c>
      <c r="B67" t="str">
        <v>-7.274563570531562, 110.4566389733656</v>
      </c>
      <c r="C67" t="str" cm="1">
        <f t="array" ref="C67:D67">_xlfn.TEXTSPLIT(B67,",")</f>
        <v>-7.274563570531562</v>
      </c>
      <c r="D67" t="str">
        <v> 110.4566389733656</v>
      </c>
    </row>
    <row r="68" spans="1:4">
      <c r="A68" s="12" t="s">
        <v>189</v>
      </c>
      <c r="B68" t="str">
        <v>-6.874019777832724, 109.24198483543758</v>
      </c>
      <c r="C68" t="str" cm="1">
        <f t="array" ref="C68:D68">_xlfn.TEXTSPLIT(B68,",")</f>
        <v>-6.874019777832724</v>
      </c>
      <c r="D68" t="str">
        <v> 109.24198483543758</v>
      </c>
    </row>
    <row r="69" spans="1:4">
      <c r="A69" s="12" t="s">
        <v>192</v>
      </c>
      <c r="B69" t="str">
        <v>-6.943541635761603, 110.46463078053</v>
      </c>
      <c r="C69" t="str" cm="1">
        <f t="array" ref="C69:D69">_xlfn.TEXTSPLIT(B69,",")</f>
        <v>-6.943541635761603</v>
      </c>
      <c r="D69" t="str">
        <v> 110.46463078053</v>
      </c>
    </row>
    <row r="70" spans="1:4">
      <c r="A70" s="11" t="s">
        <v>195</v>
      </c>
      <c r="B70" t="str">
        <v>-6.770064785828307, 110.77736549305621</v>
      </c>
      <c r="C70" t="str" cm="1">
        <f t="array" ref="C70:D70">_xlfn.TEXTSPLIT(B70,",")</f>
        <v>-6.770064785828307</v>
      </c>
      <c r="D70" t="str">
        <v> 110.77736549305621</v>
      </c>
    </row>
    <row r="71" spans="1:4">
      <c r="A71" s="11" t="s">
        <v>198</v>
      </c>
      <c r="B71" t="str">
        <v>-6.900651438588143, 109.6992891530893</v>
      </c>
      <c r="C71" t="str" cm="1">
        <f t="array" ref="C71:D71">_xlfn.TEXTSPLIT(B71,",")</f>
        <v>-6.900651438588143</v>
      </c>
      <c r="D71" t="str">
        <v> 109.6992891530893</v>
      </c>
    </row>
    <row r="72" spans="1:4">
      <c r="A72" s="11" t="s">
        <v>201</v>
      </c>
      <c r="B72" t="str">
        <v>-6.699044984985001, 111.06154364580229</v>
      </c>
      <c r="C72" t="str" cm="1">
        <f t="array" ref="C72:D72">_xlfn.TEXTSPLIT(B72,",")</f>
        <v>-6.699044984985001</v>
      </c>
      <c r="D72" t="str">
        <v> 111.06154364580229</v>
      </c>
    </row>
    <row r="73" spans="1:4">
      <c r="A73" s="11" t="s">
        <v>204</v>
      </c>
      <c r="B73" t="str">
        <v>-6.98194792533315, 110.35510903046466</v>
      </c>
      <c r="C73" t="str" cm="1">
        <f t="array" ref="C73:D73">_xlfn.TEXTSPLIT(B73,",")</f>
        <v>-6.98194792533315</v>
      </c>
      <c r="D73" t="str">
        <v> 110.35510903046466</v>
      </c>
    </row>
    <row r="74" spans="1:4">
      <c r="A74" s="11" t="s">
        <v>207</v>
      </c>
      <c r="B74" t="str">
        <v>-7.311746583270268, 110.47581945941714</v>
      </c>
      <c r="C74" t="str" cm="1">
        <f t="array" ref="C74:D74">_xlfn.TEXTSPLIT(B74,",")</f>
        <v>-7.311746583270268</v>
      </c>
      <c r="D74" t="str">
        <v> 110.47581945941714</v>
      </c>
    </row>
    <row r="75" spans="1:4">
      <c r="A75" s="11" t="s">
        <v>210</v>
      </c>
      <c r="B75" t="str">
        <v>-6.889513704347308, 109.60849320149292</v>
      </c>
      <c r="C75" t="str" cm="1">
        <f t="array" ref="C75:D75">_xlfn.TEXTSPLIT(B75,",")</f>
        <v>-6.889513704347308</v>
      </c>
      <c r="D75" t="str">
        <v> 109.60849320149292</v>
      </c>
    </row>
    <row r="76" spans="1:4">
      <c r="A76" s="11" t="s">
        <v>213</v>
      </c>
      <c r="B76" t="str">
        <v>-6.921999793840568, 110.5874724553097</v>
      </c>
      <c r="C76" t="str" cm="1">
        <f t="array" ref="C76:D76">_xlfn.TEXTSPLIT(B76,",")</f>
        <v>-6.921999793840568</v>
      </c>
      <c r="D76" t="str">
        <v> 110.5874724553097</v>
      </c>
    </row>
    <row r="77" spans="1:4">
      <c r="A77" s="11" t="s">
        <v>216</v>
      </c>
      <c r="B77" t="str">
        <v>-6.990661693471107, 110.33776120011518</v>
      </c>
      <c r="C77" t="str" cm="1">
        <f t="array" ref="C77:D77">_xlfn.TEXTSPLIT(B77,",")</f>
        <v>-6.990661693471107</v>
      </c>
      <c r="D77" t="str">
        <v> 110.33776120011518</v>
      </c>
    </row>
    <row r="78" spans="1:4">
      <c r="A78" s="11" t="s">
        <v>217</v>
      </c>
      <c r="B78" t="str">
        <v>-6.703179137559683, 111.39367464497944</v>
      </c>
      <c r="C78" t="str" cm="1">
        <f t="array" ref="C78:D78">_xlfn.TEXTSPLIT(B78,",")</f>
        <v>-6.703179137559683</v>
      </c>
      <c r="D78" t="str">
        <v> 111.39367464497944</v>
      </c>
    </row>
    <row r="79" spans="1:4">
      <c r="A79" s="11" t="s">
        <v>220</v>
      </c>
      <c r="B79" t="str">
        <v>-7.373293805083455, 110.50480774271436</v>
      </c>
      <c r="C79" t="str" cm="1">
        <f t="array" ref="C79:D79">_xlfn.TEXTSPLIT(B79,",")</f>
        <v>-7.373293805083455</v>
      </c>
      <c r="D79" t="str">
        <v> 110.50480774271436</v>
      </c>
    </row>
    <row r="80" spans="1:4">
      <c r="A80" s="11" t="s">
        <v>223</v>
      </c>
      <c r="B80" t="str">
        <v>-7.064757197108743, 110.4704055655975</v>
      </c>
      <c r="C80" t="str" cm="1">
        <f t="array" ref="C80:D80">_xlfn.TEXTSPLIT(B80,",")</f>
        <v>-7.064757197108743</v>
      </c>
      <c r="D80" t="str">
        <v> 110.4704055655975</v>
      </c>
    </row>
    <row r="81" spans="1:4">
      <c r="A81" s="11" t="s">
        <v>226</v>
      </c>
      <c r="B81" t="str">
        <v>-6.874019777832724, 109.24198483543758</v>
      </c>
      <c r="C81" t="str" cm="1">
        <f t="array" ref="C81:D81">_xlfn.TEXTSPLIT(B81,",")</f>
        <v>-6.874019777832724</v>
      </c>
      <c r="D81" t="str">
        <v> 109.24198483543758</v>
      </c>
    </row>
    <row r="82" spans="1:4">
      <c r="A82" s="11" t="s">
        <v>227</v>
      </c>
      <c r="B82" t="str">
        <v>-7.034011645735754, 110.54661241674347</v>
      </c>
      <c r="C82" t="str" cm="1">
        <f t="array" ref="C82:D82">_xlfn.TEXTSPLIT(B82,",")</f>
        <v>-7.034011645735754</v>
      </c>
      <c r="D82" t="str">
        <v> 110.54661241674347</v>
      </c>
    </row>
    <row r="83" spans="1:4">
      <c r="A83" s="11" t="s">
        <v>230</v>
      </c>
      <c r="B83" t="str">
        <v>-7.274563570531562, 110.4566389733656</v>
      </c>
      <c r="C83" t="str" cm="1">
        <f t="array" ref="C83:D83">_xlfn.TEXTSPLIT(B83,",")</f>
        <v>-7.274563570531562</v>
      </c>
      <c r="D83" t="str">
        <v> 110.4566389733656</v>
      </c>
    </row>
    <row r="84" spans="1:4">
      <c r="A84" s="11" t="s">
        <v>231</v>
      </c>
      <c r="B84" t="str">
        <v>-6.944062189719025, 110.11318280748692</v>
      </c>
      <c r="C84" t="str" cm="1">
        <f t="array" ref="C84:D84">_xlfn.TEXTSPLIT(B84,",")</f>
        <v>-6.944062189719025</v>
      </c>
      <c r="D84" t="str">
        <v> 110.11318280748692</v>
      </c>
    </row>
    <row r="85" spans="1:4">
      <c r="A85" s="11" t="s">
        <v>234</v>
      </c>
      <c r="B85" t="str">
        <v>-7.541903393375327, 110.91619737344033</v>
      </c>
      <c r="C85" t="str" cm="1">
        <f t="array" ref="C85:D85">_xlfn.TEXTSPLIT(B85,",")</f>
        <v>-7.541903393375327</v>
      </c>
      <c r="D85" t="str">
        <v> 110.91619737344033</v>
      </c>
    </row>
    <row r="86" spans="1:4">
      <c r="A86" s="11" t="s">
        <v>237</v>
      </c>
      <c r="B86" t="str">
        <v>-7.06846776086877, 110.95412680433189</v>
      </c>
      <c r="C86" t="str" cm="1">
        <f t="array" ref="C86:D86">_xlfn.TEXTSPLIT(B86,",")</f>
        <v>-7.06846776086877</v>
      </c>
      <c r="D86" t="str">
        <v> 110.95412680433189</v>
      </c>
    </row>
    <row r="87" spans="1:4">
      <c r="A87" s="11" t="s">
        <v>240</v>
      </c>
      <c r="B87" t="str">
        <v>-7.197303237815042, 110.42772092653351</v>
      </c>
      <c r="C87" t="str" cm="1">
        <f t="array" ref="C87:D87">_xlfn.TEXTSPLIT(B87,",")</f>
        <v>-7.197303237815042</v>
      </c>
      <c r="D87" t="str">
        <v> 110.42772092653351</v>
      </c>
    </row>
    <row r="88" spans="1:4">
      <c r="A88" s="11" t="s">
        <v>243</v>
      </c>
      <c r="B88" t="str">
        <v>-6.770064785828307, 110.77736549305621</v>
      </c>
      <c r="C88" t="str" cm="1">
        <f t="array" ref="C88:D88">_xlfn.TEXTSPLIT(B88,",")</f>
        <v>-6.770064785828307</v>
      </c>
      <c r="D88" t="str">
        <v> 110.77736549305621</v>
      </c>
    </row>
    <row r="89" spans="1:4">
      <c r="A89" s="11" t="s">
        <v>244</v>
      </c>
      <c r="B89" t="str">
        <v>-6.918467147740296, 111.43814158225962</v>
      </c>
      <c r="C89" t="str" cm="1">
        <f t="array" ref="C89:D89">_xlfn.TEXTSPLIT(B89,",")</f>
        <v>-6.918467147740296</v>
      </c>
      <c r="D89" t="str">
        <v> 111.43814158225962</v>
      </c>
    </row>
    <row r="90" spans="1:4">
      <c r="A90" s="11" t="s">
        <v>247</v>
      </c>
      <c r="B90" t="str">
        <v>-6.955241668385401, 109.74459306733846</v>
      </c>
      <c r="C90" t="str" cm="1">
        <f t="array" ref="C90:D90">_xlfn.TEXTSPLIT(B90,",")</f>
        <v>-6.955241668385401</v>
      </c>
      <c r="D90" t="str">
        <v> 109.74459306733846</v>
      </c>
    </row>
    <row r="91" spans="1:4">
      <c r="A91" s="11" t="s">
        <v>250</v>
      </c>
      <c r="B91" t="str">
        <v>-6.689161534734553, 110.71656563450674</v>
      </c>
      <c r="C91" t="str" cm="1">
        <f t="array" ref="C91:D91">_xlfn.TEXTSPLIT(B91,",")</f>
        <v>-6.689161534734553</v>
      </c>
      <c r="D91" t="str">
        <v> 110.71656563450674</v>
      </c>
    </row>
    <row r="92" spans="1:4">
      <c r="A92" s="11" t="s">
        <v>253</v>
      </c>
      <c r="B92" t="str">
        <v>-6.80401832215516, 110.7936115688647</v>
      </c>
      <c r="C92" t="str" cm="1">
        <f t="array" ref="C92:D92">_xlfn.TEXTSPLIT(B92,",")</f>
        <v>-6.80401832215516</v>
      </c>
      <c r="D92" t="str">
        <v> 110.7936115688647</v>
      </c>
    </row>
    <row r="93" spans="1:4">
      <c r="A93" s="11" t="s">
        <v>256</v>
      </c>
      <c r="B93" t="str">
        <v>-6.9541474948999555, 110.41361753088589</v>
      </c>
      <c r="C93" t="str" cm="1">
        <f t="array" ref="C93:D93">_xlfn.TEXTSPLIT(B93,",")</f>
        <v>-6.9541474948999555</v>
      </c>
      <c r="D93" t="str">
        <v> 110.41361753088589</v>
      </c>
    </row>
    <row r="94" spans="1:4">
      <c r="A94" s="11" t="s">
        <v>259</v>
      </c>
      <c r="B94" t="str">
        <v>-7.618160, 111.002931</v>
      </c>
      <c r="C94" t="str" cm="1">
        <f t="array" ref="C94:D94">_xlfn.TEXTSPLIT(B94,",")</f>
        <v>-7.618160</v>
      </c>
      <c r="D94" t="str">
        <v> 111.002931</v>
      </c>
    </row>
    <row r="95" spans="1:4">
      <c r="A95" s="11" t="s">
        <v>262</v>
      </c>
      <c r="B95" t="str">
        <v>-6.938206, 110.255955</v>
      </c>
      <c r="C95" t="str" cm="1">
        <f t="array" ref="C95:D95">_xlfn.TEXTSPLIT(B95,",")</f>
        <v>-6.938206</v>
      </c>
      <c r="D95" t="str">
        <v> 110.255955</v>
      </c>
    </row>
    <row r="96" spans="1:4">
      <c r="A96" s="11" t="s">
        <v>265</v>
      </c>
      <c r="B96" t="str">
        <v>-6.901501, 108.889082</v>
      </c>
      <c r="C96" t="str" cm="1">
        <f t="array" ref="C96:D96">_xlfn.TEXTSPLIT(B96,",")</f>
        <v>-6.901501</v>
      </c>
      <c r="D96" t="str">
        <v> 108.889082</v>
      </c>
    </row>
    <row r="97" spans="1:4">
      <c r="A97" s="11" t="s">
        <v>268</v>
      </c>
      <c r="B97" t="str">
        <v>-6.8677755, 109.2043991</v>
      </c>
      <c r="C97" t="str" cm="1">
        <f t="array" ref="C97:D97">_xlfn.TEXTSPLIT(B97,",")</f>
        <v>-6.8677755</v>
      </c>
      <c r="D97" t="str">
        <v> 109.2043991</v>
      </c>
    </row>
    <row r="98" spans="1:4">
      <c r="A98" s="11" t="s">
        <v>271</v>
      </c>
      <c r="B98" t="str">
        <v>-6.7381058, 111.0850120</v>
      </c>
      <c r="C98" t="str" cm="1">
        <f t="array" ref="C98:D98">_xlfn.TEXTSPLIT(B98,",")</f>
        <v>-6.7381058</v>
      </c>
      <c r="D98" t="str">
        <v> 111.0850120</v>
      </c>
    </row>
    <row r="99" spans="1:4">
      <c r="A99" s="11" t="s">
        <v>274</v>
      </c>
      <c r="B99" t="str">
        <v>-6.7649350, 110.8401428</v>
      </c>
      <c r="C99" t="str" cm="1">
        <f t="array" ref="C99:D99">_xlfn.TEXTSPLIT(B99,",")</f>
        <v>-6.7649350</v>
      </c>
      <c r="D99" t="str">
        <v> 110.8401428</v>
      </c>
    </row>
    <row r="100" spans="1:4">
      <c r="A100" s="11" t="s">
        <v>277</v>
      </c>
      <c r="B100" t="str">
        <v>-6.488101, 110.894957</v>
      </c>
      <c r="C100" t="str" cm="1">
        <f t="array" ref="C100:D100">_xlfn.TEXTSPLIT(B100,",")</f>
        <v>-6.488101</v>
      </c>
      <c r="D100" t="str">
        <v> 110.894957</v>
      </c>
    </row>
    <row r="101" spans="1:4">
      <c r="A101" s="11" t="s">
        <v>280</v>
      </c>
      <c r="B101" s="25" t="str">
        <v>-7.088136, 109.366094</v>
      </c>
      <c r="C101" t="str" cm="1">
        <f t="array" ref="C101:D101">_xlfn.TEXTSPLIT(B101,",")</f>
        <v>-7.088136</v>
      </c>
      <c r="D101" t="str">
        <v> 109.366094</v>
      </c>
    </row>
    <row r="102" spans="1:4">
      <c r="A102" s="11" t="s">
        <v>283</v>
      </c>
      <c r="B102" t="str">
        <v>-7.373076002446788, 110.25989244903748</v>
      </c>
      <c r="C102" t="str" cm="1">
        <f t="array" ref="C102:D102">_xlfn.TEXTSPLIT(B102,",")</f>
        <v>-7.373076002446788</v>
      </c>
      <c r="D102" t="str">
        <v> 110.25989244903748</v>
      </c>
    </row>
    <row r="103" spans="1:4">
      <c r="A103" s="13" t="s">
        <v>286</v>
      </c>
      <c r="B103" t="e">
        <v>#N/A</v>
      </c>
      <c r="C103" t="e" cm="1">
        <f t="array" ref="C103">_xlfn.TEXTSPLIT(B103,",")</f>
        <v>#N/A</v>
      </c>
    </row>
    <row r="104" spans="1:4">
      <c r="A104" s="11" t="s">
        <v>287</v>
      </c>
      <c r="B104" t="str">
        <v>-7.530841968969348, 110.6046857226283</v>
      </c>
      <c r="C104" t="str" cm="1">
        <f t="array" ref="C104:D104">_xlfn.TEXTSPLIT(B104,",")</f>
        <v>-7.530841968969348</v>
      </c>
      <c r="D104" t="str">
        <v> 110.6046857226283</v>
      </c>
    </row>
    <row r="105" spans="1:4">
      <c r="A105" s="11" t="s">
        <v>290</v>
      </c>
      <c r="B105" t="str">
        <v>-7.137694, 111.59595</v>
      </c>
      <c r="C105" t="str" cm="1">
        <f t="array" ref="C105:D105">_xlfn.TEXTSPLIT(B105,",")</f>
        <v>-7.137694</v>
      </c>
      <c r="D105" t="str">
        <v> 111.59595</v>
      </c>
    </row>
    <row r="106" spans="1:4">
      <c r="A106" s="11" t="s">
        <v>293</v>
      </c>
      <c r="B106" t="str">
        <v>-6.5877812965066, 110.68826932999205</v>
      </c>
      <c r="C106" t="str" cm="1">
        <f t="array" ref="C106:D106">_xlfn.TEXTSPLIT(B106,",")</f>
        <v>-6.5877812965066</v>
      </c>
      <c r="D106" t="str">
        <v> 110.68826932999205</v>
      </c>
    </row>
    <row r="107" spans="1:4">
      <c r="A107" s="11" t="s">
        <v>296</v>
      </c>
      <c r="B107" t="str">
        <v>-6.7771826938344555, 110.99316312908816</v>
      </c>
      <c r="C107" t="str" cm="1">
        <f t="array" ref="C107:D107">_xlfn.TEXTSPLIT(B107,",")</f>
        <v>-6.7771826938344555</v>
      </c>
      <c r="D107" t="str">
        <v> 110.99316312908816</v>
      </c>
    </row>
    <row r="108" spans="1:4">
      <c r="A108" s="11" t="s">
        <v>299</v>
      </c>
      <c r="B108" t="str">
        <v>-7.034011645735754, 110.54661241674347</v>
      </c>
      <c r="C108" t="str" cm="1">
        <f t="array" ref="C108:D108">_xlfn.TEXTSPLIT(B108,",")</f>
        <v>-7.034011645735754</v>
      </c>
      <c r="D108" t="str">
        <v> 110.54661241674347</v>
      </c>
    </row>
    <row r="109" spans="1:4">
      <c r="A109" s="11" t="s">
        <v>300</v>
      </c>
      <c r="B109" t="str">
        <v>-6.929364493260338, 110.5492296456461</v>
      </c>
      <c r="C109" t="str" cm="1">
        <f t="array" ref="C109:D109">_xlfn.TEXTSPLIT(B109,",")</f>
        <v>-6.929364493260338</v>
      </c>
      <c r="D109" t="str">
        <v> 110.5492296456461</v>
      </c>
    </row>
    <row r="110" spans="1:4">
      <c r="A110" s="11" t="s">
        <v>303</v>
      </c>
      <c r="B110" t="str">
        <v>-6.891529695012401, 109.6113649388537</v>
      </c>
      <c r="C110" t="str" cm="1">
        <f t="array" ref="C110:D110">_xlfn.TEXTSPLIT(B110,",")</f>
        <v>-6.891529695012401</v>
      </c>
      <c r="D110" t="str">
        <v> 109.6113649388537</v>
      </c>
    </row>
    <row r="111" spans="1:4">
      <c r="A111" s="11" t="s">
        <v>306</v>
      </c>
      <c r="B111" t="str">
        <v>-6.872348520359612, 109.18660493723932</v>
      </c>
      <c r="C111" t="str" cm="1">
        <f t="array" ref="C111:D111">_xlfn.TEXTSPLIT(B111,",")</f>
        <v>-6.872348520359612</v>
      </c>
      <c r="D111" t="str">
        <v> 109.18660493723932</v>
      </c>
    </row>
    <row r="112" spans="1:4">
      <c r="A112" s="11" t="s">
        <v>309</v>
      </c>
      <c r="B112" t="str">
        <v>-7.066497626130187, 110.88139320691782</v>
      </c>
      <c r="C112" t="str" cm="1">
        <f t="array" ref="C112:D112">_xlfn.TEXTSPLIT(B112,",")</f>
        <v>-7.066497626130187</v>
      </c>
      <c r="D112" t="str">
        <v> 110.88139320691782</v>
      </c>
    </row>
    <row r="113" spans="1:4">
      <c r="A113" s="11" t="s">
        <v>312</v>
      </c>
      <c r="B113" t="str">
        <v>-7.007653439609758, 110.3603862717547</v>
      </c>
      <c r="C113" t="str" cm="1">
        <f t="array" ref="C113:D113">_xlfn.TEXTSPLIT(B113,",")</f>
        <v>-7.007653439609758</v>
      </c>
      <c r="D113" t="str">
        <v> 110.3603862717547</v>
      </c>
    </row>
    <row r="114" spans="1:4">
      <c r="A114" s="11" t="s">
        <v>315</v>
      </c>
      <c r="B114" t="str">
        <v>-6.884486845029401, 109.36593600523629</v>
      </c>
      <c r="C114" t="str" cm="1">
        <f t="array" ref="C114:D114">_xlfn.TEXTSPLIT(B114,",")</f>
        <v>-6.884486845029401</v>
      </c>
      <c r="D114" t="str">
        <v> 109.36593600523629</v>
      </c>
    </row>
    <row r="115" spans="1:4">
      <c r="A115" s="11" t="s">
        <v>318</v>
      </c>
      <c r="B115" t="str">
        <v>-7.589584944416301, 110.78778286339208</v>
      </c>
      <c r="C115" t="str" cm="1">
        <f t="array" ref="C115:D115">_xlfn.TEXTSPLIT(B115,",")</f>
        <v>-7.589584944416301</v>
      </c>
      <c r="D115" t="str">
        <v> 110.78778286339208</v>
      </c>
    </row>
    <row r="116" spans="1:4">
      <c r="A116" s="11" t="s">
        <v>321</v>
      </c>
      <c r="B116" t="str">
        <v>-6.957542312414145, 109.84173141552762</v>
      </c>
      <c r="C116" t="str" cm="1">
        <f t="array" ref="C116:D116">_xlfn.TEXTSPLIT(B116,",")</f>
        <v>-6.957542312414145</v>
      </c>
      <c r="D116" t="str">
        <v> 109.84173141552762</v>
      </c>
    </row>
    <row r="117" spans="1:4">
      <c r="A117" s="11" t="s">
        <v>324</v>
      </c>
      <c r="B117" t="str">
        <v>-7.355140144469036, 110.83585459175197</v>
      </c>
      <c r="C117" t="str" cm="1">
        <f t="array" ref="C117:D117">_xlfn.TEXTSPLIT(B117,",")</f>
        <v>-7.355140144469036</v>
      </c>
      <c r="D117" t="str">
        <v> 110.83585459175197</v>
      </c>
    </row>
    <row r="118" spans="1:4">
      <c r="A118" s="11" t="s">
        <v>327</v>
      </c>
      <c r="B118" t="str">
        <v>-6.938517794464102, 110.24971011022103</v>
      </c>
      <c r="C118" t="str" cm="1">
        <f t="array" ref="C118:D118">_xlfn.TEXTSPLIT(B118,",")</f>
        <v>-6.938517794464102</v>
      </c>
      <c r="D118" t="str">
        <v> 110.24971011022103</v>
      </c>
    </row>
    <row r="119" spans="1:4">
      <c r="A119" s="11" t="s">
        <v>330</v>
      </c>
      <c r="B119" t="str">
        <v>-7.091258350476699, 110.35873907481201</v>
      </c>
      <c r="C119" t="str" cm="1">
        <f t="array" ref="C119:D119">_xlfn.TEXTSPLIT(B119,",")</f>
        <v>-7.091258350476699</v>
      </c>
      <c r="D119" t="str">
        <v> 110.35873907481201</v>
      </c>
    </row>
    <row r="120" spans="1:4">
      <c r="A120" s="11" t="s">
        <v>333</v>
      </c>
      <c r="B120" t="str">
        <v>-6.943541635761603, 110.46463078053</v>
      </c>
      <c r="C120" t="str" cm="1">
        <f t="array" ref="C120:D120">_xlfn.TEXTSPLIT(B120,",")</f>
        <v>-6.943541635761603</v>
      </c>
      <c r="D120" t="str">
        <v> 110.46463078053</v>
      </c>
    </row>
    <row r="121" spans="1:4">
      <c r="A121" s="11" t="s">
        <v>334</v>
      </c>
      <c r="B121" t="str">
        <v>-6.987455, 109.599251</v>
      </c>
      <c r="C121" t="str" cm="1">
        <f t="array" ref="C121:D121">_xlfn.TEXTSPLIT(B121,",")</f>
        <v>-6.987455</v>
      </c>
      <c r="D121" t="str">
        <v> 109.599251</v>
      </c>
    </row>
    <row r="122" spans="1:4">
      <c r="A122" s="11" t="s">
        <v>337</v>
      </c>
      <c r="B122" t="str">
        <v>-7.873473, 110.964249</v>
      </c>
      <c r="C122" t="str" cm="1">
        <f t="array" ref="C122:D122">_xlfn.TEXTSPLIT(B122,",")</f>
        <v>-7.873473</v>
      </c>
      <c r="D122" t="str">
        <v> 110.964249</v>
      </c>
    </row>
    <row r="123" spans="1:4">
      <c r="A123" s="11" t="s">
        <v>340</v>
      </c>
      <c r="B123" t="str">
        <v>-7.2732437, 110.3724235</v>
      </c>
      <c r="C123" t="str" cm="1">
        <f t="array" ref="C123:D123">_xlfn.TEXTSPLIT(B123,",")</f>
        <v>-7.2732437</v>
      </c>
      <c r="D123" t="str">
        <v> 110.3724235</v>
      </c>
    </row>
    <row r="124" spans="1:4">
      <c r="A124" s="11" t="s">
        <v>343</v>
      </c>
      <c r="B124" t="str">
        <v>-7.02468597426402, 110.88828595010148</v>
      </c>
      <c r="C124" t="str" cm="1">
        <f t="array" ref="C124:D124">_xlfn.TEXTSPLIT(B124,",")</f>
        <v>-7.02468597426402</v>
      </c>
      <c r="D124" t="str">
        <v> 110.88828595010148</v>
      </c>
    </row>
    <row r="125" spans="1:4">
      <c r="A125" s="11" t="s">
        <v>346</v>
      </c>
      <c r="B125" t="str">
        <v>-6.696236, 111.270419</v>
      </c>
      <c r="C125" t="str" cm="1">
        <f t="array" ref="C125:D125">_xlfn.TEXTSPLIT(B125,",")</f>
        <v>-6.696236</v>
      </c>
      <c r="D125" t="str">
        <v> 111.270419</v>
      </c>
    </row>
    <row r="126" spans="1:4">
      <c r="A126" s="11" t="s">
        <v>349</v>
      </c>
      <c r="B126" s="25" t="str">
        <v>-6.788024212859763, 111.03052722012218</v>
      </c>
      <c r="C126" t="str" cm="1">
        <f t="array" ref="C126:D126">_xlfn.TEXTSPLIT(B126,",")</f>
        <v>-6.788024212859763</v>
      </c>
      <c r="D126" t="str">
        <v> 111.03052722012218</v>
      </c>
    </row>
    <row r="127" spans="1:4">
      <c r="A127" s="11" t="s">
        <v>352</v>
      </c>
      <c r="B127" t="str">
        <v>-7.700003854923637, 110.917000500082</v>
      </c>
      <c r="C127" t="str" cm="1">
        <f t="array" ref="C127:D127">_xlfn.TEXTSPLIT(B127,",")</f>
        <v>-7.700003854923637</v>
      </c>
      <c r="D127" t="str">
        <v> 110.917000500082</v>
      </c>
    </row>
    <row r="128" spans="1:4">
      <c r="A128" s="11" t="s">
        <v>355</v>
      </c>
      <c r="B128" t="str">
        <v>-7.430902866390322, 111.05135161285966</v>
      </c>
      <c r="C128" t="str" cm="1">
        <f t="array" ref="C128:D128">_xlfn.TEXTSPLIT(B128,",")</f>
        <v>-7.430902866390322</v>
      </c>
      <c r="D128" t="str">
        <v> 111.05135161285966</v>
      </c>
    </row>
    <row r="129" spans="1:4">
      <c r="A129" s="11" t="s">
        <v>358</v>
      </c>
      <c r="B129" t="str">
        <v>-7.485063618600583, 110.56859770035656</v>
      </c>
      <c r="C129" t="str" cm="1">
        <f t="array" ref="C129:D129">_xlfn.TEXTSPLIT(B129,",")</f>
        <v>-7.485063618600583</v>
      </c>
      <c r="D129" t="str">
        <v> 110.56859770035656</v>
      </c>
    </row>
    <row r="130" spans="1:4">
      <c r="A130" s="11" t="s">
        <v>361</v>
      </c>
      <c r="B130" t="str">
        <v>-8.234428, 111.072419</v>
      </c>
      <c r="C130" t="str" cm="1">
        <f t="array" ref="C130:D130">_xlfn.TEXTSPLIT(B130,",")</f>
        <v>-8.234428</v>
      </c>
      <c r="D130" t="str">
        <v> 111.072419</v>
      </c>
    </row>
    <row r="131" spans="1:4">
      <c r="A131" s="11" t="s">
        <v>364</v>
      </c>
      <c r="B131" s="25" t="str">
        <v>-7.369065,111.111936</v>
      </c>
      <c r="C131" t="str" cm="1">
        <f t="array" ref="C131:D131">_xlfn.TEXTSPLIT(B131,",")</f>
        <v>-7.369065</v>
      </c>
      <c r="D131" t="str">
        <v>111.111936</v>
      </c>
    </row>
    <row r="132" spans="1:4">
      <c r="A132" s="12" t="s">
        <v>367</v>
      </c>
      <c r="B132" t="str">
        <v>-7.069864385971852, 110.47542406483278</v>
      </c>
      <c r="C132" t="str" cm="1">
        <f t="array" ref="C132:D132">_xlfn.TEXTSPLIT(B132,",")</f>
        <v>-7.069864385971852</v>
      </c>
      <c r="D132" t="str">
        <v> 110.47542406483278</v>
      </c>
    </row>
    <row r="133" spans="1:4">
      <c r="A133" s="11" t="s">
        <v>370</v>
      </c>
      <c r="B133" t="str">
        <v>-6.787880, 111.704765</v>
      </c>
      <c r="C133" t="str" cm="1">
        <f t="array" ref="C133:D133">_xlfn.TEXTSPLIT(B133,",")</f>
        <v>-6.787880</v>
      </c>
      <c r="D133" t="str">
        <v> 111.704765</v>
      </c>
    </row>
    <row r="134" spans="1:4">
      <c r="A134" s="11" t="s">
        <v>373</v>
      </c>
      <c r="B134" t="str">
        <v>-7.344344, 112.758834</v>
      </c>
      <c r="C134" t="str" cm="1">
        <f t="array" ref="C134:D134">_xlfn.TEXTSPLIT(B134,",")</f>
        <v>-7.344344</v>
      </c>
      <c r="D134" t="str">
        <v> 112.758834</v>
      </c>
    </row>
    <row r="135" spans="1:4">
      <c r="A135" s="11" t="s">
        <v>376</v>
      </c>
      <c r="B135" t="str">
        <v>-7.749421, 112.033837</v>
      </c>
      <c r="C135" t="str" cm="1">
        <f t="array" ref="C135:D135">_xlfn.TEXTSPLIT(B135,",")</f>
        <v>-7.749421</v>
      </c>
      <c r="D135" t="str">
        <v> 112.033837</v>
      </c>
    </row>
    <row r="136" spans="1:4">
      <c r="A136" s="11" t="s">
        <v>379</v>
      </c>
      <c r="B136" t="str">
        <v>-7.678156, 112.94688</v>
      </c>
      <c r="C136" t="str" cm="1">
        <f t="array" ref="C136:D136">_xlfn.TEXTSPLIT(B136,",")</f>
        <v>-7.678156</v>
      </c>
      <c r="D136" t="str">
        <v> 112.94688</v>
      </c>
    </row>
    <row r="137" spans="1:4">
      <c r="A137" s="11" t="s">
        <v>382</v>
      </c>
      <c r="B137" t="str">
        <v>-8.039285, 112.610834</v>
      </c>
      <c r="C137" t="str" cm="1">
        <f t="array" ref="C137:D137">_xlfn.TEXTSPLIT(B137,",")</f>
        <v>-8.039285</v>
      </c>
      <c r="D137" t="str">
        <v> 112.610834</v>
      </c>
    </row>
    <row r="138" spans="1:4">
      <c r="A138" s="11" t="s">
        <v>385</v>
      </c>
      <c r="B138" t="str">
        <v>-7.242458, 112.694238</v>
      </c>
      <c r="C138" t="str" cm="1">
        <f t="array" ref="C138:D138">_xlfn.TEXTSPLIT(B138,",")</f>
        <v>-7.242458</v>
      </c>
      <c r="D138" t="str">
        <v> 112.694238</v>
      </c>
    </row>
    <row r="139" spans="1:4">
      <c r="A139" s="11" t="s">
        <v>388</v>
      </c>
      <c r="B139" t="str">
        <v>-7.910847799272267, 112.62114967993514</v>
      </c>
      <c r="C139" t="str" cm="1">
        <f t="array" ref="C139:D139">_xlfn.TEXTSPLIT(B139,",")</f>
        <v>-7.910847799272267</v>
      </c>
      <c r="D139" t="str">
        <v> 112.62114967993514</v>
      </c>
    </row>
    <row r="140" spans="1:4">
      <c r="A140" s="11" t="s">
        <v>391</v>
      </c>
      <c r="B140" t="str">
        <v>-7.096618, 113.818122</v>
      </c>
      <c r="C140" t="str" cm="1">
        <f t="array" ref="C140:D140">_xlfn.TEXTSPLIT(B140,",")</f>
        <v>-7.096618</v>
      </c>
      <c r="D140" t="str">
        <v> 113.818122</v>
      </c>
    </row>
    <row r="141" spans="1:4">
      <c r="A141" s="11" t="s">
        <v>394</v>
      </c>
      <c r="B141" t="str">
        <v>-7.557721, 112.557629</v>
      </c>
      <c r="C141" t="str" cm="1">
        <f t="array" ref="C141:D141">_xlfn.TEXTSPLIT(B141,",")</f>
        <v>-7.557721</v>
      </c>
      <c r="D141" t="str">
        <v> 112.557629</v>
      </c>
    </row>
    <row r="142" spans="1:4">
      <c r="A142" s="11" t="s">
        <v>397</v>
      </c>
      <c r="B142" t="str">
        <v>-7.901775, 112.026669</v>
      </c>
      <c r="C142" t="str" cm="1">
        <f t="array" ref="C142:D142">_xlfn.TEXTSPLIT(B142,",")</f>
        <v>-7.901775</v>
      </c>
      <c r="D142" t="str">
        <v> 112.026669</v>
      </c>
    </row>
    <row r="143" spans="1:4">
      <c r="A143" s="11" t="s">
        <v>400</v>
      </c>
      <c r="B143" t="str">
        <v>-7.876111, 112.688056</v>
      </c>
      <c r="C143" t="str" cm="1">
        <f t="array" ref="C143:D143">_xlfn.TEXTSPLIT(B143,",")</f>
        <v>-7.876111</v>
      </c>
      <c r="D143" t="str">
        <v> 112.688056</v>
      </c>
    </row>
    <row r="144" spans="1:4">
      <c r="A144" s="11" t="s">
        <v>403</v>
      </c>
      <c r="B144" t="str">
        <v>-7.879399, 111.485767</v>
      </c>
      <c r="C144" t="str" cm="1">
        <f t="array" ref="C144:D144">_xlfn.TEXTSPLIT(B144,",")</f>
        <v>-7.879399</v>
      </c>
      <c r="D144" t="str">
        <v> 111.485767</v>
      </c>
    </row>
    <row r="145" spans="1:4">
      <c r="A145" s="11" t="s">
        <v>406</v>
      </c>
      <c r="B145" t="str">
        <v>-7.564104, 112.325508</v>
      </c>
      <c r="C145" t="str" cm="1">
        <f t="array" ref="C145:D145">_xlfn.TEXTSPLIT(B145,",")</f>
        <v>-7.564104</v>
      </c>
      <c r="D145" t="str">
        <v> 112.325508</v>
      </c>
    </row>
    <row r="146" spans="1:4">
      <c r="A146" s="11" t="s">
        <v>409</v>
      </c>
      <c r="B146" t="str">
        <v>-7.615228, 112.711023</v>
      </c>
      <c r="C146" t="str" cm="1">
        <f t="array" ref="C146:D146">_xlfn.TEXTSPLIT(B146,",")</f>
        <v>-7.615228</v>
      </c>
      <c r="D146" t="str">
        <v> 112.711023</v>
      </c>
    </row>
    <row r="147" spans="1:4">
      <c r="A147" s="11" t="s">
        <v>412</v>
      </c>
      <c r="B147" t="str">
        <v>-7.814581, 112.082736</v>
      </c>
      <c r="C147" t="str" cm="1">
        <f t="array" ref="C147:D147">_xlfn.TEXTSPLIT(B147,",")</f>
        <v>-7.814581</v>
      </c>
      <c r="D147" t="str">
        <v> 112.082736</v>
      </c>
    </row>
    <row r="148" spans="1:4">
      <c r="A148" s="11" t="s">
        <v>415</v>
      </c>
      <c r="B148" t="str">
        <v>-7.093809742486803, 112.29774943332994</v>
      </c>
      <c r="C148" t="str" cm="1">
        <f t="array" ref="C148:D148">_xlfn.TEXTSPLIT(B148,",")</f>
        <v>-7.093809742486803</v>
      </c>
      <c r="D148" t="str">
        <v> 112.29774943332994</v>
      </c>
    </row>
    <row r="149" spans="1:4">
      <c r="A149" s="11" t="s">
        <v>418</v>
      </c>
      <c r="B149" t="str">
        <v>-7.444658, 112.683698</v>
      </c>
      <c r="C149" t="str" cm="1">
        <f t="array" ref="C149:D149">_xlfn.TEXTSPLIT(B149,",")</f>
        <v>-7.444658</v>
      </c>
      <c r="D149" t="str">
        <v> 112.683698</v>
      </c>
    </row>
    <row r="150" spans="1:4">
      <c r="A150" s="11" t="s">
        <v>421</v>
      </c>
      <c r="B150" t="str">
        <v>-7.006104, 112.134770</v>
      </c>
      <c r="C150" t="str" cm="1">
        <f t="array" ref="C150:D150">_xlfn.TEXTSPLIT(B150,",")</f>
        <v>-7.006104</v>
      </c>
      <c r="D150" t="str">
        <v> 112.134770</v>
      </c>
    </row>
    <row r="151" spans="1:4">
      <c r="A151" s="11" t="s">
        <v>424</v>
      </c>
      <c r="B151" t="str">
        <v>-7.490692, 112.625376</v>
      </c>
      <c r="C151" t="str" cm="1">
        <f t="array" ref="C151:D151">_xlfn.TEXTSPLIT(B151,",")</f>
        <v>-7.490692</v>
      </c>
      <c r="D151" t="str">
        <v> 112.625376</v>
      </c>
    </row>
    <row r="152" spans="1:4">
      <c r="A152" s="11" t="s">
        <v>427</v>
      </c>
      <c r="B152" t="str">
        <v>-8.109542, 112.015156</v>
      </c>
      <c r="C152" t="str" cm="1">
        <f t="array" ref="C152:D152">_xlfn.TEXTSPLIT(B152,",")</f>
        <v>-8.109542</v>
      </c>
      <c r="D152" t="str">
        <v> 112.015156</v>
      </c>
    </row>
    <row r="153" spans="1:4">
      <c r="A153" s="11" t="s">
        <v>430</v>
      </c>
      <c r="B153" t="str">
        <v>-7.344344, 112.758834</v>
      </c>
      <c r="C153" t="str" cm="1">
        <f t="array" ref="C153:D153">_xlfn.TEXTSPLIT(B153,",")</f>
        <v>-7.344344</v>
      </c>
      <c r="D153" t="str">
        <v> 112.758834</v>
      </c>
    </row>
    <row r="154" spans="1:4">
      <c r="A154" s="11" t="s">
        <v>431</v>
      </c>
      <c r="B154" t="str">
        <v>-8.039285, 112.610834</v>
      </c>
      <c r="C154" t="str" cm="1">
        <f t="array" ref="C154:D154">_xlfn.TEXTSPLIT(B154,",")</f>
        <v>-8.039285</v>
      </c>
      <c r="D154" t="str">
        <v> 112.610834</v>
      </c>
    </row>
    <row r="155" spans="1:4">
      <c r="A155" s="11" t="s">
        <v>432</v>
      </c>
      <c r="B155" t="str">
        <v>-7.410516, 111.475425</v>
      </c>
      <c r="C155" t="str" cm="1">
        <f t="array" ref="C155:D155">_xlfn.TEXTSPLIT(B155,",")</f>
        <v>-7.410516</v>
      </c>
      <c r="D155" t="str">
        <v> 111.475425</v>
      </c>
    </row>
    <row r="156" spans="1:4">
      <c r="A156" s="11" t="s">
        <v>435</v>
      </c>
      <c r="B156" t="str">
        <v>-7.994932, 112.627874</v>
      </c>
      <c r="C156" t="str" cm="1">
        <f t="array" ref="C156:D156">_xlfn.TEXTSPLIT(B156,",")</f>
        <v>-7.994932</v>
      </c>
      <c r="D156" t="str">
        <v> 112.627874</v>
      </c>
    </row>
    <row r="157" spans="1:4">
      <c r="A157" s="11" t="s">
        <v>438</v>
      </c>
      <c r="B157" t="str">
        <v>-7.543183, 112.409165</v>
      </c>
      <c r="C157" t="str" cm="1">
        <f t="array" ref="C157:D157">_xlfn.TEXTSPLIT(B157,",")</f>
        <v>-7.543183</v>
      </c>
      <c r="D157" t="str">
        <v> 112.409165</v>
      </c>
    </row>
    <row r="158" spans="1:4">
      <c r="A158" s="11" t="s">
        <v>441</v>
      </c>
      <c r="B158" t="str">
        <v>-8.096736, 112.181767</v>
      </c>
      <c r="C158" t="str" cm="1">
        <f t="array" ref="C158:D158">_xlfn.TEXTSPLIT(B158,",")</f>
        <v>-8.096736</v>
      </c>
      <c r="D158" t="str">
        <v> 112.181767</v>
      </c>
    </row>
    <row r="159" spans="1:4">
      <c r="A159" s="11" t="s">
        <v>444</v>
      </c>
      <c r="B159" t="str">
        <v>-8.0986306, 112.6722259</v>
      </c>
      <c r="C159" t="str" cm="1">
        <f t="array" ref="C159:D159">_xlfn.TEXTSPLIT(B159,",")</f>
        <v>-8.0986306</v>
      </c>
      <c r="D159" t="str">
        <v> 112.6722259</v>
      </c>
    </row>
    <row r="160" spans="1:4">
      <c r="A160" s="11" t="s">
        <v>447</v>
      </c>
      <c r="B160" t="str">
        <v>-7.004931, 112.133253</v>
      </c>
      <c r="C160" t="str" cm="1">
        <f t="array" ref="C160:D160">_xlfn.TEXTSPLIT(B160,",")</f>
        <v>-7.004931</v>
      </c>
      <c r="D160" t="str">
        <v> 112.133253</v>
      </c>
    </row>
    <row r="161" spans="1:4">
      <c r="A161" s="11" t="s">
        <v>450</v>
      </c>
      <c r="B161" t="str">
        <v>-7.136930062348222, 111.815230859782</v>
      </c>
      <c r="C161" t="str" cm="1">
        <f t="array" ref="C161:D161">_xlfn.TEXTSPLIT(B161,",")</f>
        <v>-7.136930062348222</v>
      </c>
      <c r="D161" t="str">
        <v> 111.815230859782</v>
      </c>
    </row>
    <row r="162" spans="1:4">
      <c r="A162" s="11" t="s">
        <v>453</v>
      </c>
      <c r="B162" t="str">
        <v>-7.470842, 112.563256</v>
      </c>
      <c r="C162" t="str" cm="1">
        <f t="array" ref="C162:D162">_xlfn.TEXTSPLIT(B162,",")</f>
        <v>-7.470842</v>
      </c>
      <c r="D162" t="str">
        <v> 112.563256</v>
      </c>
    </row>
    <row r="163" spans="1:4">
      <c r="A163" s="11" t="s">
        <v>456</v>
      </c>
      <c r="B163" t="str">
        <v>-8.133317, 112.131956</v>
      </c>
      <c r="C163" t="str" cm="1">
        <f t="array" ref="C163:D163">_xlfn.TEXTSPLIT(B163,",")</f>
        <v>-8.133317</v>
      </c>
      <c r="D163" t="str">
        <v> 112.131956</v>
      </c>
    </row>
    <row r="164" spans="1:4">
      <c r="A164" s="11" t="s">
        <v>459</v>
      </c>
      <c r="B164" t="str">
        <v>-7.556448, 111.426822</v>
      </c>
      <c r="C164" t="str" cm="1">
        <f t="array" ref="C164:D164">_xlfn.TEXTSPLIT(B164,",")</f>
        <v>-7.556448</v>
      </c>
      <c r="D164" t="str">
        <v> 111.426822</v>
      </c>
    </row>
    <row r="165" spans="1:4">
      <c r="A165" s="11" t="s">
        <v>462</v>
      </c>
      <c r="B165" t="str">
        <v>-7.242458, 112.694238</v>
      </c>
      <c r="C165" t="str" cm="1">
        <f t="array" ref="C165:D165">_xlfn.TEXTSPLIT(B165,",")</f>
        <v>-7.242458</v>
      </c>
      <c r="D165" t="str">
        <v> 112.694238</v>
      </c>
    </row>
    <row r="166" spans="1:4">
      <c r="A166" s="11" t="s">
        <v>463</v>
      </c>
      <c r="B166" t="str">
        <v>-7.410516, 111.475425</v>
      </c>
      <c r="C166" t="str" cm="1">
        <f t="array" ref="C166:D166">_xlfn.TEXTSPLIT(B166,",")</f>
        <v>-7.410516</v>
      </c>
      <c r="D166" t="str">
        <v> 111.475425</v>
      </c>
    </row>
    <row r="167" spans="1:4">
      <c r="A167" s="11" t="s">
        <v>464</v>
      </c>
      <c r="B167" t="str">
        <v>-7.223962, 112.704172</v>
      </c>
      <c r="C167" t="str" cm="1">
        <f t="array" ref="C167:D167">_xlfn.TEXTSPLIT(B167,",")</f>
        <v>-7.223962</v>
      </c>
      <c r="D167" t="str">
        <v> 112.704172</v>
      </c>
    </row>
    <row r="168" spans="1:4">
      <c r="A168" s="11" t="s">
        <v>467</v>
      </c>
      <c r="B168" t="str">
        <v>-7.513285, 112.423458</v>
      </c>
      <c r="C168" t="str" cm="1">
        <f t="array" ref="C168:D168">_xlfn.TEXTSPLIT(B168,",")</f>
        <v>-7.513285</v>
      </c>
      <c r="D168" t="str">
        <v> 112.423458</v>
      </c>
    </row>
    <row r="169" spans="1:4">
      <c r="A169" s="11" t="s">
        <v>470</v>
      </c>
      <c r="B169" t="str">
        <v>-7.359936, 112.684075</v>
      </c>
      <c r="C169" t="str" cm="1">
        <f t="array" ref="C169:D169">_xlfn.TEXTSPLIT(B169,",")</f>
        <v>-7.359936</v>
      </c>
      <c r="D169" t="str">
        <v> 112.684075</v>
      </c>
    </row>
    <row r="170" spans="1:4">
      <c r="A170" s="11" t="s">
        <v>473</v>
      </c>
      <c r="B170" t="str">
        <v>-7.161548, 111.636965</v>
      </c>
      <c r="C170" t="str" cm="1">
        <f t="array" ref="C170:D170">_xlfn.TEXTSPLIT(B170,",")</f>
        <v>-7.161548</v>
      </c>
      <c r="D170" t="str">
        <v> 111.636965</v>
      </c>
    </row>
    <row r="171" spans="1:4">
      <c r="A171" s="11" t="s">
        <v>476</v>
      </c>
      <c r="B171" t="str">
        <v>-8.076419, 112.230128</v>
      </c>
      <c r="C171" t="str" cm="1">
        <f t="array" ref="C171:D171">_xlfn.TEXTSPLIT(B171,",")</f>
        <v>-8.076419</v>
      </c>
      <c r="D171" t="str">
        <v> 112.230128</v>
      </c>
    </row>
    <row r="172" spans="1:4">
      <c r="A172" s="11" t="s">
        <v>479</v>
      </c>
      <c r="B172" t="str">
        <v>-7.678156, 112.94688</v>
      </c>
      <c r="C172" t="str" cm="1">
        <f t="array" ref="C172:D172">_xlfn.TEXTSPLIT(B172,",")</f>
        <v>-7.678156</v>
      </c>
      <c r="D172" t="str">
        <v> 112.94688</v>
      </c>
    </row>
    <row r="173" spans="1:4">
      <c r="A173" s="11" t="s">
        <v>480</v>
      </c>
      <c r="B173" t="str">
        <v>-7.402525, 111.399553</v>
      </c>
      <c r="C173" t="str" cm="1">
        <f t="array" ref="C173:D173">_xlfn.TEXTSPLIT(B173,",")</f>
        <v>-7.402525</v>
      </c>
      <c r="D173" t="str">
        <v> 111.399553</v>
      </c>
    </row>
    <row r="174" spans="1:4">
      <c r="A174" s="11" t="s">
        <v>483</v>
      </c>
      <c r="B174" t="str">
        <v>-8.109422, 111.768678</v>
      </c>
      <c r="C174" t="str" cm="1">
        <f t="array" ref="C174:D174">_xlfn.TEXTSPLIT(B174,",")</f>
        <v>-8.109422</v>
      </c>
      <c r="D174" t="str">
        <v> 111.768678</v>
      </c>
    </row>
    <row r="175" spans="1:4">
      <c r="A175" s="11" t="s">
        <v>486</v>
      </c>
      <c r="B175" t="str">
        <v>-7.588753, 112.203383</v>
      </c>
      <c r="C175" t="str" cm="1">
        <f t="array" ref="C175:D175">_xlfn.TEXTSPLIT(B175,",")</f>
        <v>-7.588753</v>
      </c>
      <c r="D175" t="str">
        <v> 112.203383</v>
      </c>
    </row>
    <row r="176" spans="1:4">
      <c r="A176" s="11" t="s">
        <v>489</v>
      </c>
      <c r="B176" t="str">
        <v>-7.120711, 112.460618</v>
      </c>
      <c r="C176" t="str" cm="1">
        <f t="array" ref="C176:D176">_xlfn.TEXTSPLIT(B176,",")</f>
        <v>-7.120711</v>
      </c>
      <c r="D176" t="str">
        <v> 112.460618</v>
      </c>
    </row>
    <row r="177" spans="1:4">
      <c r="A177" s="11" t="s">
        <v>492</v>
      </c>
      <c r="B177" t="str">
        <v>-7.576198, 112.182571</v>
      </c>
      <c r="C177" t="str" cm="1">
        <f t="array" ref="C177:D177">_xlfn.TEXTSPLIT(B177,",")</f>
        <v>-7.576198</v>
      </c>
      <c r="D177" t="str">
        <v> 112.182571</v>
      </c>
    </row>
    <row r="178" spans="1:4">
      <c r="A178" s="11" t="s">
        <v>495</v>
      </c>
      <c r="B178" t="str">
        <v>-7.593848, 112.126505</v>
      </c>
      <c r="C178" t="str" cm="1">
        <f t="array" ref="C178:D178">_xlfn.TEXTSPLIT(B178,",")</f>
        <v>-7.593848</v>
      </c>
      <c r="D178" t="str">
        <v> 112.126505</v>
      </c>
    </row>
    <row r="179" spans="1:4">
      <c r="A179" s="11" t="s">
        <v>498</v>
      </c>
      <c r="B179" t="str">
        <v>-7.62315, 112.815469</v>
      </c>
      <c r="C179" t="str" cm="1">
        <f t="array" ref="C179:D179">_xlfn.TEXTSPLIT(B179,",")</f>
        <v>-7.62315</v>
      </c>
      <c r="D179" t="str">
        <v> 112.815469</v>
      </c>
    </row>
    <row r="180" spans="1:4">
      <c r="A180" s="11" t="s">
        <v>501</v>
      </c>
      <c r="B180" t="str">
        <v>-7.739180, 112.778206</v>
      </c>
      <c r="C180" t="str" cm="1">
        <f t="array" ref="C180:D180">_xlfn.TEXTSPLIT(B180,",")</f>
        <v>-7.739180</v>
      </c>
      <c r="D180" t="str">
        <v> 112.778206</v>
      </c>
    </row>
    <row r="181" spans="1:4">
      <c r="A181" s="11" t="s">
        <v>504</v>
      </c>
      <c r="B181" t="str">
        <v>-7.088674, 112.333941</v>
      </c>
      <c r="C181" t="str" cm="1">
        <f t="array" ref="C181:D181">_xlfn.TEXTSPLIT(B181,",")</f>
        <v>-7.088674</v>
      </c>
      <c r="D181" t="str">
        <v> 112.333941</v>
      </c>
    </row>
    <row r="182" spans="1:4">
      <c r="A182" s="11" t="s">
        <v>507</v>
      </c>
      <c r="B182" t="str">
        <v>-7.471738, 111.429759</v>
      </c>
      <c r="C182" t="str" cm="1">
        <f t="array" ref="C182:D182">_xlfn.TEXTSPLIT(B182,",")</f>
        <v>-7.471738</v>
      </c>
      <c r="D182" t="str">
        <v> 111.429759</v>
      </c>
    </row>
    <row r="183" spans="1:4">
      <c r="A183" s="11" t="s">
        <v>510</v>
      </c>
      <c r="B183" t="str">
        <v>-7.653482, 112.289053</v>
      </c>
      <c r="C183" t="str" cm="1">
        <f t="array" ref="C183:D183">_xlfn.TEXTSPLIT(B183,",")</f>
        <v>-7.653482</v>
      </c>
      <c r="D183" t="str">
        <v> 112.289053</v>
      </c>
    </row>
    <row r="184" spans="1:4">
      <c r="A184" s="11" t="s">
        <v>513</v>
      </c>
      <c r="B184" t="str">
        <v>-7.219058, 113.425414</v>
      </c>
      <c r="C184" t="str" cm="1">
        <f t="array" ref="C184:D184">_xlfn.TEXTSPLIT(B184,",")</f>
        <v>-7.219058</v>
      </c>
      <c r="D184" t="str">
        <v> 113.425414</v>
      </c>
    </row>
    <row r="185" spans="1:4">
      <c r="A185" s="11" t="s">
        <v>516</v>
      </c>
      <c r="B185" t="str">
        <v>-7.164995227067908, 112.03860686145502</v>
      </c>
      <c r="C185" t="str" cm="1">
        <f t="array" ref="C185:D185">_xlfn.TEXTSPLIT(B185,",")</f>
        <v>-7.164995227067908</v>
      </c>
      <c r="D185" t="str">
        <v> 112.03860686145502</v>
      </c>
    </row>
    <row r="186" spans="1:4">
      <c r="A186" s="11" t="s">
        <v>519</v>
      </c>
      <c r="B186" t="str">
        <v>-7.131534, 112.614421</v>
      </c>
      <c r="C186" t="str" cm="1">
        <f t="array" ref="C186:D186">_xlfn.TEXTSPLIT(B186,",")</f>
        <v>-7.131534</v>
      </c>
      <c r="D186" t="str">
        <v> 112.614421</v>
      </c>
    </row>
    <row r="187" spans="1:4">
      <c r="A187" s="12" t="s">
        <v>522</v>
      </c>
      <c r="B187" t="str">
        <v>-7.749421, 112.033837</v>
      </c>
      <c r="C187" t="str" cm="1">
        <f t="array" ref="C187:D187">_xlfn.TEXTSPLIT(B187,",")</f>
        <v>-7.749421</v>
      </c>
      <c r="D187" t="str">
        <v> 112.033837</v>
      </c>
    </row>
    <row r="188" spans="1:4">
      <c r="A188" s="11" t="s">
        <v>523</v>
      </c>
      <c r="B188" t="str">
        <v>-7.580972, 112.707181</v>
      </c>
      <c r="C188" t="str" cm="1">
        <f t="array" ref="C188:D188">_xlfn.TEXTSPLIT(B188,",")</f>
        <v>-7.580972</v>
      </c>
      <c r="D188" t="str">
        <v> 112.707181</v>
      </c>
    </row>
    <row r="189" spans="1:4">
      <c r="A189" s="11" t="s">
        <v>526</v>
      </c>
      <c r="B189" t="str">
        <v>-7.606632, 112.069667</v>
      </c>
      <c r="C189" t="str" cm="1">
        <f t="array" ref="C189:D189">_xlfn.TEXTSPLIT(B189,",")</f>
        <v>-7.606632</v>
      </c>
      <c r="D189" t="str">
        <v> 112.069667</v>
      </c>
    </row>
    <row r="190" spans="1:4">
      <c r="A190" s="11" t="s">
        <v>529</v>
      </c>
      <c r="B190" t="str">
        <v>-7.861833, 112.032598</v>
      </c>
      <c r="C190" t="str" cm="1">
        <f t="array" ref="C190:D190">_xlfn.TEXTSPLIT(B190,",")</f>
        <v>-7.861833</v>
      </c>
      <c r="D190" t="str">
        <v> 112.032598</v>
      </c>
    </row>
    <row r="191" spans="1:4">
      <c r="A191" s="11" t="s">
        <v>532</v>
      </c>
      <c r="B191" t="str">
        <v>-7.605224, 111.995285</v>
      </c>
      <c r="C191" t="str" cm="1">
        <f t="array" ref="C191:D191">_xlfn.TEXTSPLIT(B191,",")</f>
        <v>-7.605224</v>
      </c>
      <c r="D191" t="str">
        <v> 111.995285</v>
      </c>
    </row>
    <row r="192" spans="1:4">
      <c r="A192" s="11" t="s">
        <v>535</v>
      </c>
      <c r="B192" t="str">
        <v>-7.604799, 112.821906</v>
      </c>
      <c r="C192" t="str" cm="1">
        <f t="array" ref="C192:D192">_xlfn.TEXTSPLIT(B192,",")</f>
        <v>-7.604799</v>
      </c>
      <c r="D192" t="str">
        <v> 112.821906</v>
      </c>
    </row>
    <row r="193" spans="1:4">
      <c r="A193" s="11" t="s">
        <v>538</v>
      </c>
      <c r="B193" t="str">
        <v>-8.084844, 111.710347</v>
      </c>
      <c r="C193" t="str" cm="1">
        <f t="array" ref="C193:D193">_xlfn.TEXTSPLIT(B193,",")</f>
        <v>-8.084844</v>
      </c>
      <c r="D193" t="str">
        <v> 111.710347</v>
      </c>
    </row>
    <row r="194" spans="1:4">
      <c r="A194" s="11" t="s">
        <v>541</v>
      </c>
      <c r="B194" t="str">
        <v>-8.084375, 111.960667</v>
      </c>
      <c r="C194" t="str" cm="1">
        <f t="array" ref="C194:D194">_xlfn.TEXTSPLIT(B194,",")</f>
        <v>-8.084375</v>
      </c>
      <c r="D194" t="str">
        <v> 111.960667</v>
      </c>
    </row>
    <row r="195" spans="1:4">
      <c r="A195" s="11" t="s">
        <v>544</v>
      </c>
      <c r="B195" t="str">
        <v>-7.994983, 111.935994</v>
      </c>
      <c r="C195" t="str" cm="1">
        <f t="array" ref="C195:D195">_xlfn.TEXTSPLIT(B195,",")</f>
        <v>-7.994983</v>
      </c>
      <c r="D195" t="str">
        <v> 111.935994</v>
      </c>
    </row>
    <row r="196" spans="1:4">
      <c r="A196" s="11" t="s">
        <v>547</v>
      </c>
      <c r="B196" t="str">
        <v>-7.244113, 112.680575</v>
      </c>
      <c r="C196" t="str" cm="1">
        <f t="array" ref="C196:D196">_xlfn.TEXTSPLIT(B196,",")</f>
        <v>-7.244113</v>
      </c>
      <c r="D196" t="str">
        <v> 112.680575</v>
      </c>
    </row>
    <row r="197" spans="1:4">
      <c r="A197" s="11" t="s">
        <v>550</v>
      </c>
      <c r="B197" t="str">
        <v>-7.215497, 113.354633</v>
      </c>
      <c r="C197" t="str" cm="1">
        <f t="array" ref="C197:D197">_xlfn.TEXTSPLIT(B197,",")</f>
        <v>-7.215497</v>
      </c>
      <c r="D197" t="str">
        <v> 113.354633</v>
      </c>
    </row>
    <row r="198" spans="1:4">
      <c r="A198" s="11" t="s">
        <v>553</v>
      </c>
      <c r="B198" t="str">
        <v>-7.193696, 112.640634</v>
      </c>
      <c r="C198" t="str" cm="1">
        <f t="array" ref="C198:D198">_xlfn.TEXTSPLIT(B198,",")</f>
        <v>-7.193696</v>
      </c>
      <c r="D198" t="str">
        <v> 112.640634</v>
      </c>
    </row>
    <row r="199" spans="1:4">
      <c r="A199" s="11" t="s">
        <v>556</v>
      </c>
      <c r="B199" t="str">
        <v>-7.630655558798819, 111.90548419826348</v>
      </c>
      <c r="C199" t="str" cm="1">
        <f t="array" ref="C199:D199">_xlfn.TEXTSPLIT(B199,",")</f>
        <v>-7.630655558798819</v>
      </c>
      <c r="D199" t="str">
        <v> 111.90548419826348</v>
      </c>
    </row>
    <row r="200" spans="1:4">
      <c r="A200" s="11" t="s">
        <v>559</v>
      </c>
      <c r="B200" t="str">
        <v>-7.408351, 112.548823</v>
      </c>
      <c r="C200" t="str" cm="1">
        <f t="array" ref="C200:D200">_xlfn.TEXTSPLIT(B200,",")</f>
        <v>-7.408351</v>
      </c>
      <c r="D200" t="str">
        <v> 112.548823</v>
      </c>
    </row>
    <row r="201" spans="1:4">
      <c r="A201" s="11" t="s">
        <v>562</v>
      </c>
      <c r="B201" s="25" t="str">
        <v>-7.263894, 112.700346</v>
      </c>
      <c r="C201" t="str" cm="1">
        <f t="array" ref="C201:D201">_xlfn.TEXTSPLIT(B201,",")</f>
        <v>-7.263894</v>
      </c>
      <c r="D201" t="str">
        <v> 112.700346</v>
      </c>
    </row>
    <row r="202" spans="1:4">
      <c r="A202" s="11" t="s">
        <v>565</v>
      </c>
      <c r="B202" s="25" t="str">
        <v>-7.731780, 112.146857</v>
      </c>
      <c r="C202" t="str" cm="1">
        <f t="array" ref="C202:D202">_xlfn.TEXTSPLIT(B202,",")</f>
        <v>-7.731780</v>
      </c>
      <c r="D202" t="str">
        <v> 112.146857</v>
      </c>
    </row>
    <row r="203" spans="1:4">
      <c r="A203" s="11" t="s">
        <v>568</v>
      </c>
      <c r="B203" t="str">
        <v>-7.095391, 112.797434</v>
      </c>
      <c r="C203" t="str" cm="1">
        <f t="array" ref="C203:D203">_xlfn.TEXTSPLIT(B203,",")</f>
        <v>-7.095391</v>
      </c>
      <c r="D203" t="str">
        <v> 112.797434</v>
      </c>
    </row>
    <row r="204" spans="1:4">
      <c r="A204" s="11" t="s">
        <v>571</v>
      </c>
      <c r="B204" t="str">
        <v>-7.837187, 112.057940</v>
      </c>
      <c r="C204" t="str" cm="1">
        <f t="array" ref="C204:D204">_xlfn.TEXTSPLIT(B204,",")</f>
        <v>-7.837187</v>
      </c>
      <c r="D204" t="str">
        <v> 112.057940</v>
      </c>
    </row>
    <row r="205" spans="1:4">
      <c r="A205" s="11" t="s">
        <v>574</v>
      </c>
      <c r="B205" t="str">
        <v>-7.906068, 112.704817</v>
      </c>
      <c r="C205" t="str" cm="1">
        <f t="array" ref="C205:D205">_xlfn.TEXTSPLIT(B205,",")</f>
        <v>-7.906068</v>
      </c>
      <c r="D205" t="str">
        <v> 112.704817</v>
      </c>
    </row>
    <row r="206" spans="1:4">
      <c r="A206" s="11" t="s">
        <v>577</v>
      </c>
      <c r="B206" t="str">
        <v>-7.119203, 113.776259</v>
      </c>
      <c r="C206" t="str" cm="1">
        <f t="array" ref="C206:D206">_xlfn.TEXTSPLIT(B206,",")</f>
        <v>-7.119203</v>
      </c>
      <c r="D206" t="str">
        <v> 113.776259</v>
      </c>
    </row>
    <row r="207" spans="1:4">
      <c r="A207" s="11" t="s">
        <v>580</v>
      </c>
      <c r="B207" t="str">
        <v>-8.084375, 111.960667</v>
      </c>
      <c r="C207" t="str" cm="1">
        <f t="array" ref="C207:D207">_xlfn.TEXTSPLIT(B207,",")</f>
        <v>-8.084375</v>
      </c>
      <c r="D207" t="str">
        <v> 111.960667</v>
      </c>
    </row>
    <row r="208" spans="1:4">
      <c r="A208" s="11" t="s">
        <v>581</v>
      </c>
      <c r="B208" t="str">
        <v>-8.0484618, 112.6416889</v>
      </c>
      <c r="C208" t="str" cm="1">
        <f t="array" ref="C208:D208">_xlfn.TEXTSPLIT(B208,",")</f>
        <v>-8.0484618</v>
      </c>
      <c r="D208" t="str">
        <v> 112.6416889</v>
      </c>
    </row>
    <row r="209" spans="1:4">
      <c r="A209" s="11" t="s">
        <v>584</v>
      </c>
      <c r="B209" t="str">
        <v>-7.204770, 112.719843</v>
      </c>
      <c r="C209" t="str" cm="1">
        <f t="array" ref="C209:D209">_xlfn.TEXTSPLIT(B209,",")</f>
        <v>-7.204770</v>
      </c>
      <c r="D209" t="str">
        <v> 112.719843</v>
      </c>
    </row>
    <row r="210" spans="1:4">
      <c r="A210" s="11" t="s">
        <v>587</v>
      </c>
      <c r="B210" t="str">
        <v>-7.219058, 113.425414</v>
      </c>
      <c r="C210" t="str" cm="1">
        <f t="array" ref="C210:D210">_xlfn.TEXTSPLIT(B210,",")</f>
        <v>-7.219058</v>
      </c>
      <c r="D210" t="str">
        <v> 113.425414</v>
      </c>
    </row>
    <row r="211" spans="1:4">
      <c r="A211" s="11" t="s">
        <v>588</v>
      </c>
      <c r="B211" t="str">
        <v>-7.552597, 111.697053</v>
      </c>
      <c r="C211" t="str" cm="1">
        <f t="array" ref="C211:D211">_xlfn.TEXTSPLIT(B211,",")</f>
        <v>-7.552597</v>
      </c>
      <c r="D211" t="str">
        <v> 111.697053</v>
      </c>
    </row>
    <row r="212" spans="1:4">
      <c r="A212" s="11" t="s">
        <v>591</v>
      </c>
      <c r="B212" t="str">
        <v>-7.834736, 111.483480</v>
      </c>
      <c r="C212" t="str" cm="1">
        <f t="array" ref="C212:D212">_xlfn.TEXTSPLIT(B212,",")</f>
        <v>-7.834736</v>
      </c>
      <c r="D212" t="str">
        <v> 111.483480</v>
      </c>
    </row>
    <row r="213" spans="1:4">
      <c r="A213" s="11" t="s">
        <v>594</v>
      </c>
      <c r="B213" t="str">
        <v>-7.672366, 111.399331</v>
      </c>
      <c r="C213" t="str" cm="1">
        <f t="array" ref="C213:D213">_xlfn.TEXTSPLIT(B213,",")</f>
        <v>-7.672366</v>
      </c>
      <c r="D213" t="str">
        <v> 111.399331</v>
      </c>
    </row>
    <row r="214" spans="1:4">
      <c r="A214" s="11" t="s">
        <v>597</v>
      </c>
      <c r="B214" t="str">
        <v>-7.616327244126836, 112.53687915865535</v>
      </c>
      <c r="C214" t="str" cm="1">
        <f t="array" ref="C214:D214">_xlfn.TEXTSPLIT(B214,",")</f>
        <v>-7.616327244126836</v>
      </c>
      <c r="D214" t="str">
        <v> 112.53687915865535</v>
      </c>
    </row>
    <row r="215" spans="1:4">
      <c r="A215" s="11" t="s">
        <v>600</v>
      </c>
      <c r="B215" t="str">
        <v>-8.115252880527068, 112.55809758943755</v>
      </c>
      <c r="C215" t="str" cm="1">
        <f t="array" ref="C215:D215">_xlfn.TEXTSPLIT(B215,",")</f>
        <v>-8.115252880527068</v>
      </c>
      <c r="D215" t="str">
        <v> 112.55809758943755</v>
      </c>
    </row>
    <row r="216" spans="1:4">
      <c r="A216" s="11" t="s">
        <v>603</v>
      </c>
      <c r="B216" t="str">
        <v>-7.199479, 112.639495</v>
      </c>
      <c r="C216" t="str" cm="1">
        <f t="array" ref="C216:D216">_xlfn.TEXTSPLIT(B216,",")</f>
        <v>-7.199479</v>
      </c>
      <c r="D216" t="str">
        <v> 112.639495</v>
      </c>
    </row>
    <row r="217" spans="1:4">
      <c r="A217" s="11" t="s">
        <v>606</v>
      </c>
      <c r="B217" t="str">
        <v>-7.204770, 112.719843</v>
      </c>
      <c r="C217" t="str" cm="1">
        <f t="array" ref="C217:D217">_xlfn.TEXTSPLIT(B217,",")</f>
        <v>-7.204770</v>
      </c>
      <c r="D217" t="str">
        <v> 112.719843</v>
      </c>
    </row>
    <row r="218" spans="1:4">
      <c r="A218" s="11" t="s">
        <v>607</v>
      </c>
      <c r="B218" t="str">
        <v>-7.52564370591966, 112.69273662039366</v>
      </c>
      <c r="C218" t="str" cm="1">
        <f t="array" ref="C218:D218">_xlfn.TEXTSPLIT(B218,",")</f>
        <v>-7.52564370591966</v>
      </c>
      <c r="D218" t="str">
        <v> 112.69273662039366</v>
      </c>
    </row>
    <row r="219" spans="1:4">
      <c r="A219" s="11" t="s">
        <v>610</v>
      </c>
      <c r="B219" t="str">
        <v>-7.399250, 112.575398</v>
      </c>
      <c r="C219" t="str" cm="1">
        <f t="array" ref="C219:D219">_xlfn.TEXTSPLIT(B219,",")</f>
        <v>-7.399250</v>
      </c>
      <c r="D219" t="str">
        <v> 112.575398</v>
      </c>
    </row>
    <row r="220" spans="1:4">
      <c r="A220" s="11" t="s">
        <v>613</v>
      </c>
      <c r="B220" t="str">
        <v>-7.148921, 112.511915</v>
      </c>
      <c r="C220" t="str" cm="1">
        <f t="array" ref="C220:D220">_xlfn.TEXTSPLIT(B220,",")</f>
        <v>-7.148921</v>
      </c>
      <c r="D220" t="str">
        <v> 112.511915</v>
      </c>
    </row>
    <row r="221" spans="1:4">
      <c r="A221" s="11" t="s">
        <v>616</v>
      </c>
      <c r="B221" t="str">
        <v>-7.194263, 112.384222</v>
      </c>
      <c r="C221" t="str" cm="1">
        <f t="array" ref="C221:D221">_xlfn.TEXTSPLIT(B221,",")</f>
        <v>-7.194263</v>
      </c>
      <c r="D221" t="str">
        <v> 112.384222</v>
      </c>
    </row>
    <row r="222" spans="1:4">
      <c r="A222" s="11" t="s">
        <v>619</v>
      </c>
      <c r="B222" t="str">
        <v>-7.544951, 112.621281</v>
      </c>
      <c r="C222" t="str" cm="1">
        <f t="array" ref="C222:D222">_xlfn.TEXTSPLIT(B222,",")</f>
        <v>-7.544951</v>
      </c>
      <c r="D222" t="str">
        <v> 112.621281</v>
      </c>
    </row>
    <row r="223" spans="1:4">
      <c r="A223" s="11" t="s">
        <v>622</v>
      </c>
      <c r="B223" s="25" t="str">
        <v>-7.444172338972288, 112.73532700860581</v>
      </c>
      <c r="C223" t="str" cm="1">
        <f t="array" ref="C223:D223">_xlfn.TEXTSPLIT(B223,",")</f>
        <v>-7.444172338972288</v>
      </c>
      <c r="D223" t="str">
        <v> 112.73532700860581</v>
      </c>
    </row>
    <row r="224" spans="1:4">
      <c r="A224" s="11" t="s">
        <v>625</v>
      </c>
      <c r="B224" s="25" t="str">
        <v>-7.444172338972288, 112.73532700860581</v>
      </c>
      <c r="C224" t="str" cm="1">
        <f t="array" ref="C224:D224">_xlfn.TEXTSPLIT(B224,",")</f>
        <v>-7.444172338972288</v>
      </c>
      <c r="D224" t="str">
        <v> 112.73532700860581</v>
      </c>
    </row>
    <row r="225" spans="1:4">
      <c r="A225" s="11" t="s">
        <v>626</v>
      </c>
      <c r="B225" t="str">
        <v>-8.173969, 112.624678</v>
      </c>
      <c r="C225" t="str" cm="1">
        <f t="array" ref="C225:D225">_xlfn.TEXTSPLIT(B225,",")</f>
        <v>-8.173969</v>
      </c>
      <c r="D225" t="str">
        <v> 112.624678</v>
      </c>
    </row>
    <row r="226" spans="1:4">
      <c r="A226" s="11" t="s">
        <v>629</v>
      </c>
      <c r="B226" t="str">
        <v>-7.360130, 112.585886</v>
      </c>
      <c r="C226" t="str" cm="1">
        <f t="array" ref="C226:D226">_xlfn.TEXTSPLIT(B226,",")</f>
        <v>-7.360130</v>
      </c>
      <c r="D226" t="str">
        <v> 112.585886</v>
      </c>
    </row>
    <row r="227" spans="1:4">
      <c r="A227" s="11" t="s">
        <v>632</v>
      </c>
      <c r="B227" t="str">
        <v>-7.199479, 112.639495</v>
      </c>
      <c r="C227" t="str" cm="1">
        <f t="array" ref="C227:D227">_xlfn.TEXTSPLIT(B227,",")</f>
        <v>-7.199479</v>
      </c>
      <c r="D227" t="str">
        <v> 112.639495</v>
      </c>
    </row>
    <row r="228" spans="1:4">
      <c r="A228" s="11" t="s">
        <v>633</v>
      </c>
      <c r="B228" t="str">
        <v>-7.191420, 111.921586</v>
      </c>
      <c r="C228" t="str" cm="1">
        <f t="array" ref="C228:D228">_xlfn.TEXTSPLIT(B228,",")</f>
        <v>-7.191420</v>
      </c>
      <c r="D228" t="str">
        <v> 111.921586</v>
      </c>
    </row>
    <row r="229" spans="1:4">
      <c r="A229" s="11" t="s">
        <v>636</v>
      </c>
      <c r="B229" t="str">
        <v>-7.173821, 112.621314</v>
      </c>
      <c r="C229" t="str" cm="1">
        <f t="array" ref="C229:D229">_xlfn.TEXTSPLIT(B229,",")</f>
        <v>-7.173821</v>
      </c>
      <c r="D229" t="str">
        <v> 112.621314</v>
      </c>
    </row>
    <row r="230" spans="1:4">
      <c r="A230" s="11" t="s">
        <v>639</v>
      </c>
      <c r="B230" t="str">
        <v>-7.101840, 112.216571</v>
      </c>
      <c r="C230" t="str" cm="1">
        <f t="array" ref="C230:D230">_xlfn.TEXTSPLIT(B230,",")</f>
        <v>-7.101840</v>
      </c>
      <c r="D230" t="str">
        <v> 112.216571</v>
      </c>
    </row>
    <row r="231" spans="1:4">
      <c r="A231" s="11" t="s">
        <v>642</v>
      </c>
      <c r="B231" t="str">
        <v>-7.196141, 112.629921</v>
      </c>
      <c r="C231" t="str" cm="1">
        <f t="array" ref="C231:D231">_xlfn.TEXTSPLIT(B231,",")</f>
        <v>-7.196141</v>
      </c>
      <c r="D231" t="str">
        <v> 112.629921</v>
      </c>
    </row>
    <row r="232" spans="1:4">
      <c r="A232" s="11" t="s">
        <v>645</v>
      </c>
      <c r="B232" t="str">
        <v>-7.613171, 111.527942</v>
      </c>
      <c r="C232" t="str" cm="1">
        <f t="array" ref="C232:D232">_xlfn.TEXTSPLIT(B232,",")</f>
        <v>-7.613171</v>
      </c>
      <c r="D232" t="str">
        <v> 111.527942</v>
      </c>
    </row>
    <row r="233" spans="1:4">
      <c r="A233" s="11" t="s">
        <v>648</v>
      </c>
      <c r="B233" t="str">
        <v>-7.670428, 111.913203</v>
      </c>
      <c r="C233" t="str" cm="1">
        <f t="array" ref="C233:D233">_xlfn.TEXTSPLIT(B233,",")</f>
        <v>-7.670428</v>
      </c>
      <c r="D233" t="str">
        <v> 111.913203</v>
      </c>
    </row>
    <row r="234" spans="1:4">
      <c r="A234" s="11" t="s">
        <v>651</v>
      </c>
      <c r="B234" t="str">
        <v>-8.140534, 113.242978</v>
      </c>
      <c r="C234" t="str" cm="1">
        <f t="array" ref="C234:D234">_xlfn.TEXTSPLIT(B234,",")</f>
        <v>-8.140534</v>
      </c>
      <c r="D234" t="str">
        <v> 113.242978</v>
      </c>
    </row>
    <row r="235" spans="1:4">
      <c r="A235" s="11" t="s">
        <v>654</v>
      </c>
      <c r="B235" t="str">
        <v>-7.399250, 112.575398</v>
      </c>
      <c r="C235" t="str" cm="1">
        <f t="array" ref="C235:D235">_xlfn.TEXTSPLIT(B235,",")</f>
        <v>-7.399250</v>
      </c>
      <c r="D235" t="str">
        <v> 112.575398</v>
      </c>
    </row>
    <row r="236" spans="1:4">
      <c r="A236" s="11" t="s">
        <v>655</v>
      </c>
      <c r="B236" t="str">
        <v>-7.90588, 112.71729</v>
      </c>
      <c r="C236" t="str" cm="1">
        <f t="array" ref="C236:D236">_xlfn.TEXTSPLIT(B236,",")</f>
        <v>-7.90588</v>
      </c>
      <c r="D236" t="str">
        <v> 112.71729</v>
      </c>
    </row>
    <row r="237" spans="1:4">
      <c r="A237" s="11" t="s">
        <v>658</v>
      </c>
      <c r="B237" t="str">
        <v>-6.971338408565502, 112.10299836275546</v>
      </c>
      <c r="C237" t="str" cm="1">
        <f t="array" ref="C237:D237">_xlfn.TEXTSPLIT(B237,",")</f>
        <v>-6.971338408565502</v>
      </c>
      <c r="D237" t="str">
        <v> 112.10299836275546</v>
      </c>
    </row>
    <row r="238" spans="1:4">
      <c r="A238" s="14" t="s">
        <v>661</v>
      </c>
      <c r="B238" t="str">
        <v>-7.793238, 113.327782</v>
      </c>
      <c r="C238" t="str" cm="1">
        <f t="array" ref="C238:D238">_xlfn.TEXTSPLIT(B238,",")</f>
        <v>-7.793238</v>
      </c>
      <c r="D238" t="str">
        <v> 113.327782</v>
      </c>
    </row>
    <row r="239" spans="1:4">
      <c r="A239" s="14" t="s">
        <v>664</v>
      </c>
      <c r="B239" t="str">
        <v>-7.7589737558548615, 113.19254063178077</v>
      </c>
      <c r="C239" t="str" cm="1">
        <f t="array" ref="C239:D239">_xlfn.TEXTSPLIT(B239,",")</f>
        <v>-7.7589737558548615</v>
      </c>
      <c r="D239" t="str">
        <v> 113.19254063178077</v>
      </c>
    </row>
    <row r="240" spans="1:4">
      <c r="A240" s="14" t="s">
        <v>667</v>
      </c>
      <c r="B240" t="str">
        <v>-7.739237, 113.126384</v>
      </c>
      <c r="C240" t="str" cm="1">
        <f t="array" ref="C240:D240">_xlfn.TEXTSPLIT(B240,",")</f>
        <v>-7.739237</v>
      </c>
      <c r="D240" t="str">
        <v> 113.126384</v>
      </c>
    </row>
    <row r="241" spans="1:4">
      <c r="A241" s="14" t="s">
        <v>670</v>
      </c>
      <c r="B241" t="str">
        <v>-8.2004433, 113.544204</v>
      </c>
      <c r="C241" t="str" cm="1">
        <f t="array" ref="C241:D241">_xlfn.TEXTSPLIT(B241,",")</f>
        <v>-8.2004433</v>
      </c>
      <c r="D241" t="str">
        <v> 113.544204</v>
      </c>
    </row>
    <row r="242" spans="1:4">
      <c r="A242" s="14" t="s">
        <v>673</v>
      </c>
      <c r="B242" t="str">
        <v>-7.8226191, 113.2272206</v>
      </c>
      <c r="C242" t="str" cm="1">
        <f t="array" ref="C242:D242">_xlfn.TEXTSPLIT(B242,",")</f>
        <v>-7.8226191</v>
      </c>
      <c r="D242" t="str">
        <v> 113.2272206</v>
      </c>
    </row>
    <row r="243" spans="1:4">
      <c r="A243" s="14" t="s">
        <v>676</v>
      </c>
      <c r="B243" t="str">
        <v>-8.169731, 113.692658</v>
      </c>
      <c r="C243" t="str" cm="1">
        <f t="array" ref="C243:D243">_xlfn.TEXTSPLIT(B243,",")</f>
        <v>-8.169731</v>
      </c>
      <c r="D243" t="str">
        <v> 113.692658</v>
      </c>
    </row>
    <row r="244" spans="1:4">
      <c r="A244" s="14" t="s">
        <v>679</v>
      </c>
      <c r="B244" t="str">
        <v>-7.971805, 113.799350</v>
      </c>
      <c r="C244" t="str" cm="1">
        <f t="array" ref="C244:D244">_xlfn.TEXTSPLIT(B244,",")</f>
        <v>-7.971805</v>
      </c>
      <c r="D244" t="str">
        <v> 113.799350</v>
      </c>
    </row>
    <row r="245" spans="1:4">
      <c r="A245" s="14" t="s">
        <v>682</v>
      </c>
      <c r="B245" t="str">
        <v>-8.222971, 113.153391</v>
      </c>
      <c r="C245" t="str" cm="1">
        <f t="array" ref="C245:D245">_xlfn.TEXTSPLIT(B245,",")</f>
        <v>-8.222971</v>
      </c>
      <c r="D245" t="str">
        <v> 113.153391</v>
      </c>
    </row>
    <row r="246" spans="1:4">
      <c r="A246" s="14" t="s">
        <v>685</v>
      </c>
      <c r="B246" t="str">
        <v>-8.235163, 113.574605</v>
      </c>
      <c r="C246" t="str" cm="1">
        <f t="array" ref="C246:D246">_xlfn.TEXTSPLIT(B246,",")</f>
        <v>-8.235163</v>
      </c>
      <c r="D246" t="str">
        <v> 113.574605</v>
      </c>
    </row>
    <row r="247" spans="1:4">
      <c r="A247" s="14" t="s">
        <v>688</v>
      </c>
      <c r="B247" t="str">
        <v>-8.052736, 113.775918</v>
      </c>
      <c r="C247" t="str" cm="1">
        <f t="array" ref="C247:D247">_xlfn.TEXTSPLIT(B247,",")</f>
        <v>-8.052736</v>
      </c>
      <c r="D247" t="str">
        <v> 113.775918</v>
      </c>
    </row>
    <row r="248" spans="1:4">
      <c r="A248" s="14" t="s">
        <v>691</v>
      </c>
      <c r="B248" t="str">
        <v>-7.734208, 113.735740</v>
      </c>
      <c r="C248" t="str" cm="1">
        <f t="array" ref="C248:D248">_xlfn.TEXTSPLIT(B248,",")</f>
        <v>-7.734208</v>
      </c>
      <c r="D248" t="str">
        <v> 113.735740</v>
      </c>
    </row>
    <row r="249" spans="1:4">
      <c r="A249" s="14" t="s">
        <v>694</v>
      </c>
      <c r="B249" t="str">
        <v>-8.105501, 113.255432</v>
      </c>
      <c r="C249" t="str" cm="1">
        <f t="array" ref="C249:D249">_xlfn.TEXTSPLIT(B249,",")</f>
        <v>-8.105501</v>
      </c>
      <c r="D249" t="str">
        <v> 113.255432</v>
      </c>
    </row>
    <row r="250" spans="1:4">
      <c r="A250" s="14" t="s">
        <v>697</v>
      </c>
      <c r="B250" t="str">
        <v>-8.228771512972376, 113.6559070662197</v>
      </c>
      <c r="C250" t="str" cm="1">
        <f t="array" ref="C250:D250">_xlfn.TEXTSPLIT(B250,",")</f>
        <v>-8.228771512972376</v>
      </c>
      <c r="D250" t="str">
        <v> 113.6559070662197</v>
      </c>
    </row>
    <row r="251" spans="1:4">
      <c r="A251" s="14" t="s">
        <v>700</v>
      </c>
      <c r="B251" t="str">
        <v>-7.692624, 114.053223</v>
      </c>
      <c r="C251" t="str" cm="1">
        <f t="array" ref="C251:D251">_xlfn.TEXTSPLIT(B251,",")</f>
        <v>-7.692624</v>
      </c>
      <c r="D251" t="str">
        <v> 114.053223</v>
      </c>
    </row>
    <row r="252" spans="1:4">
      <c r="A252" s="14" t="s">
        <v>703</v>
      </c>
      <c r="B252" t="str">
        <v>-8.209393692837825, 113.72607178688996</v>
      </c>
      <c r="C252" t="str" cm="1">
        <f t="array" ref="C252:D252">_xlfn.TEXTSPLIT(B252,",")</f>
        <v>-8.209393692837825</v>
      </c>
      <c r="D252" t="str">
        <v> 113.72607178688996</v>
      </c>
    </row>
    <row r="253" spans="1:4">
      <c r="A253" s="14" t="s">
        <v>706</v>
      </c>
      <c r="B253" t="str">
        <v>-8.335388, 114.248080</v>
      </c>
      <c r="C253" t="str" cm="1">
        <f t="array" ref="C253:D253">_xlfn.TEXTSPLIT(B253,",")</f>
        <v>-8.335388</v>
      </c>
      <c r="D253" t="str">
        <v> 114.248080</v>
      </c>
    </row>
    <row r="254" spans="1:4">
      <c r="A254" s="14" t="s">
        <v>709</v>
      </c>
      <c r="B254" t="str">
        <v>-8.135789, 114.400676</v>
      </c>
      <c r="C254" t="str" cm="1">
        <f t="array" ref="C254:D254">_xlfn.TEXTSPLIT(B254,",")</f>
        <v>-8.135789</v>
      </c>
      <c r="D254" t="str">
        <v> 114.400676</v>
      </c>
    </row>
    <row r="255" spans="1:4">
      <c r="A255" s="14" t="s">
        <v>712</v>
      </c>
      <c r="B255" t="str">
        <v>-8.133475, 114.397957</v>
      </c>
      <c r="C255" t="str" cm="1">
        <f t="array" ref="C255:D255">_xlfn.TEXTSPLIT(B255,",")</f>
        <v>-8.133475</v>
      </c>
      <c r="D255" t="str">
        <v> 114.397957</v>
      </c>
    </row>
    <row r="256" spans="1:4">
      <c r="A256" s="14" t="s">
        <v>715</v>
      </c>
      <c r="B256" t="str">
        <v>-8.133475, 114.397957</v>
      </c>
      <c r="C256" t="str" cm="1">
        <f t="array" ref="C256:D256">_xlfn.TEXTSPLIT(B256,",")</f>
        <v>-8.133475</v>
      </c>
      <c r="D256" t="str">
        <v> 114.397957</v>
      </c>
    </row>
    <row r="257" spans="1:4">
      <c r="A257" s="14" t="s">
        <v>716</v>
      </c>
      <c r="B257" t="str">
        <v>-8.329530, 114.259605</v>
      </c>
      <c r="C257" t="str" cm="1">
        <f t="array" ref="C257:D257">_xlfn.TEXTSPLIT(B257,",")</f>
        <v>-8.329530</v>
      </c>
      <c r="D257" t="str">
        <v> 114.259605</v>
      </c>
    </row>
    <row r="258" spans="1:4">
      <c r="A258" s="14" t="s">
        <v>719</v>
      </c>
      <c r="B258" t="str">
        <v>-8.183396, 114.362509</v>
      </c>
      <c r="C258" t="str" cm="1">
        <f t="array" ref="C258:D258">_xlfn.TEXTSPLIT(B258,",")</f>
        <v>-8.183396</v>
      </c>
      <c r="D258" t="str">
        <v> 114.362509</v>
      </c>
    </row>
    <row r="259" spans="1:4">
      <c r="A259" s="14" t="s">
        <v>722</v>
      </c>
      <c r="B259" t="str">
        <v>-8.299063, 114.285424</v>
      </c>
      <c r="C259" t="str" cm="1">
        <f t="array" ref="C259:D259">_xlfn.TEXTSPLIT(B259,",")</f>
        <v>-8.299063</v>
      </c>
      <c r="D259" t="str">
        <v> 114.285424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1"/>
  <sheetViews>
    <sheetView topLeftCell="A160" workbookViewId="0">
      <selection activeCell="I14" sqref="I14"/>
    </sheetView>
  </sheetViews>
  <sheetFormatPr defaultColWidth="9.14285714285714" defaultRowHeight="15"/>
  <sheetData>
    <row r="1" spans="1:11">
      <c r="A1" s="1" t="s">
        <v>757</v>
      </c>
      <c r="B1" s="1" t="s">
        <v>758</v>
      </c>
      <c r="C1" s="1" t="s">
        <v>759</v>
      </c>
      <c r="D1" s="1" t="s">
        <v>760</v>
      </c>
      <c r="E1" s="1" t="s">
        <v>761</v>
      </c>
      <c r="F1" s="1" t="s">
        <v>762</v>
      </c>
      <c r="G1" s="1" t="s">
        <v>763</v>
      </c>
      <c r="H1" s="1" t="s">
        <v>764</v>
      </c>
      <c r="I1" s="1" t="s">
        <v>765</v>
      </c>
      <c r="J1" s="1" t="s">
        <v>766</v>
      </c>
      <c r="K1" s="1" t="s">
        <v>767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 t="s">
        <v>768</v>
      </c>
      <c r="B4" s="4" t="s">
        <v>769</v>
      </c>
      <c r="C4" s="4" t="s">
        <v>770</v>
      </c>
      <c r="D4" s="4" t="s">
        <v>771</v>
      </c>
      <c r="E4" s="4" t="s">
        <v>772</v>
      </c>
      <c r="F4" s="4" t="s">
        <v>773</v>
      </c>
      <c r="G4" s="4" t="s">
        <v>774</v>
      </c>
      <c r="H4" s="4" t="s">
        <v>775</v>
      </c>
      <c r="I4" s="4" t="s">
        <v>776</v>
      </c>
      <c r="J4" s="4" t="s">
        <v>777</v>
      </c>
      <c r="K4" s="4" t="s">
        <v>778</v>
      </c>
    </row>
    <row r="5" spans="1:11">
      <c r="A5" s="5">
        <v>164</v>
      </c>
      <c r="B5" s="5">
        <v>3</v>
      </c>
      <c r="C5" s="5" t="s">
        <v>779</v>
      </c>
      <c r="D5" s="5" t="s">
        <v>780</v>
      </c>
      <c r="E5" s="5" t="s">
        <v>781</v>
      </c>
      <c r="F5" s="5" t="s">
        <v>782</v>
      </c>
      <c r="G5" s="6" t="s">
        <v>783</v>
      </c>
      <c r="H5" s="5" t="s">
        <v>784</v>
      </c>
      <c r="I5" s="5" t="s">
        <v>785</v>
      </c>
      <c r="J5" s="6" t="s">
        <v>786</v>
      </c>
      <c r="K5" s="7" t="s">
        <v>787</v>
      </c>
    </row>
    <row r="6" spans="1:11">
      <c r="A6" s="5">
        <v>165</v>
      </c>
      <c r="B6" s="5">
        <v>3</v>
      </c>
      <c r="C6" s="5" t="s">
        <v>788</v>
      </c>
      <c r="D6" s="5" t="s">
        <v>789</v>
      </c>
      <c r="E6" s="5" t="s">
        <v>781</v>
      </c>
      <c r="F6" s="5" t="s">
        <v>782</v>
      </c>
      <c r="G6" s="6" t="s">
        <v>790</v>
      </c>
      <c r="H6" s="5" t="s">
        <v>784</v>
      </c>
      <c r="I6" s="5" t="s">
        <v>785</v>
      </c>
      <c r="J6" s="6" t="s">
        <v>791</v>
      </c>
      <c r="K6" s="7" t="s">
        <v>792</v>
      </c>
    </row>
    <row r="7" spans="1:11">
      <c r="A7" s="5">
        <v>166</v>
      </c>
      <c r="B7" s="5">
        <v>3</v>
      </c>
      <c r="C7" s="5" t="s">
        <v>793</v>
      </c>
      <c r="D7" s="5" t="s">
        <v>793</v>
      </c>
      <c r="E7" s="5" t="s">
        <v>781</v>
      </c>
      <c r="F7" s="5" t="s">
        <v>782</v>
      </c>
      <c r="G7" s="6" t="s">
        <v>794</v>
      </c>
      <c r="H7" s="5" t="s">
        <v>784</v>
      </c>
      <c r="I7" s="5" t="s">
        <v>785</v>
      </c>
      <c r="J7" s="6" t="s">
        <v>795</v>
      </c>
      <c r="K7" s="7" t="s">
        <v>796</v>
      </c>
    </row>
    <row r="8" spans="1:11">
      <c r="A8" s="5">
        <v>167</v>
      </c>
      <c r="B8" s="5">
        <v>3</v>
      </c>
      <c r="C8" s="5" t="s">
        <v>797</v>
      </c>
      <c r="D8" s="5" t="s">
        <v>798</v>
      </c>
      <c r="E8" s="5" t="s">
        <v>799</v>
      </c>
      <c r="F8" s="5" t="s">
        <v>782</v>
      </c>
      <c r="G8" s="6" t="s">
        <v>800</v>
      </c>
      <c r="H8" s="5" t="s">
        <v>801</v>
      </c>
      <c r="I8" s="5" t="s">
        <v>785</v>
      </c>
      <c r="J8" s="6" t="s">
        <v>802</v>
      </c>
      <c r="K8" s="7" t="s">
        <v>803</v>
      </c>
    </row>
    <row r="9" spans="1:11">
      <c r="A9" s="5">
        <v>168</v>
      </c>
      <c r="B9" s="5">
        <v>3</v>
      </c>
      <c r="C9" s="5" t="s">
        <v>804</v>
      </c>
      <c r="D9" s="5" t="s">
        <v>805</v>
      </c>
      <c r="E9" s="5" t="s">
        <v>799</v>
      </c>
      <c r="F9" s="5" t="s">
        <v>782</v>
      </c>
      <c r="G9" s="6" t="s">
        <v>806</v>
      </c>
      <c r="H9" s="5" t="s">
        <v>801</v>
      </c>
      <c r="I9" s="5" t="s">
        <v>785</v>
      </c>
      <c r="J9" s="6" t="s">
        <v>807</v>
      </c>
      <c r="K9" s="7" t="s">
        <v>808</v>
      </c>
    </row>
    <row r="10" spans="1:11">
      <c r="A10" s="5">
        <v>169</v>
      </c>
      <c r="B10" s="5">
        <v>3</v>
      </c>
      <c r="C10" s="5" t="s">
        <v>809</v>
      </c>
      <c r="D10" s="5" t="s">
        <v>810</v>
      </c>
      <c r="E10" s="5" t="s">
        <v>781</v>
      </c>
      <c r="F10" s="5" t="s">
        <v>782</v>
      </c>
      <c r="G10" s="6" t="s">
        <v>811</v>
      </c>
      <c r="H10" s="5" t="s">
        <v>812</v>
      </c>
      <c r="I10" s="5" t="s">
        <v>785</v>
      </c>
      <c r="J10" s="6" t="s">
        <v>813</v>
      </c>
      <c r="K10" s="7" t="s">
        <v>814</v>
      </c>
    </row>
    <row r="11" spans="1:11">
      <c r="A11" s="5">
        <v>170</v>
      </c>
      <c r="B11" s="5">
        <v>3</v>
      </c>
      <c r="C11" s="5" t="s">
        <v>815</v>
      </c>
      <c r="D11" s="5" t="s">
        <v>816</v>
      </c>
      <c r="E11" s="5" t="s">
        <v>781</v>
      </c>
      <c r="F11" s="5" t="s">
        <v>782</v>
      </c>
      <c r="G11" s="6" t="s">
        <v>817</v>
      </c>
      <c r="H11" s="5" t="s">
        <v>812</v>
      </c>
      <c r="I11" s="5" t="s">
        <v>785</v>
      </c>
      <c r="J11" s="6" t="s">
        <v>818</v>
      </c>
      <c r="K11" s="7" t="s">
        <v>819</v>
      </c>
    </row>
    <row r="12" spans="1:11">
      <c r="A12" s="5">
        <v>171</v>
      </c>
      <c r="B12" s="5">
        <v>3</v>
      </c>
      <c r="C12" s="5" t="s">
        <v>820</v>
      </c>
      <c r="D12" s="5">
        <v>2257</v>
      </c>
      <c r="E12" s="5" t="s">
        <v>781</v>
      </c>
      <c r="F12" s="5" t="s">
        <v>821</v>
      </c>
      <c r="G12" s="6" t="s">
        <v>822</v>
      </c>
      <c r="H12" s="5" t="s">
        <v>812</v>
      </c>
      <c r="I12" s="5" t="s">
        <v>785</v>
      </c>
      <c r="J12" s="6" t="s">
        <v>818</v>
      </c>
      <c r="K12" s="7" t="s">
        <v>819</v>
      </c>
    </row>
    <row r="13" spans="1:11">
      <c r="A13" s="5">
        <v>172</v>
      </c>
      <c r="B13" s="5">
        <v>3</v>
      </c>
      <c r="C13" s="5"/>
      <c r="D13" s="5"/>
      <c r="E13" s="5"/>
      <c r="F13" s="5" t="s">
        <v>782</v>
      </c>
      <c r="G13" s="6" t="s">
        <v>823</v>
      </c>
      <c r="H13" s="5" t="s">
        <v>812</v>
      </c>
      <c r="I13" s="5" t="s">
        <v>785</v>
      </c>
      <c r="J13" s="6" t="s">
        <v>824</v>
      </c>
      <c r="K13" s="26" t="s">
        <v>825</v>
      </c>
    </row>
    <row r="14" spans="1:11">
      <c r="A14" s="5">
        <v>173</v>
      </c>
      <c r="B14" s="5">
        <v>3</v>
      </c>
      <c r="C14" s="5" t="s">
        <v>826</v>
      </c>
      <c r="D14" s="5" t="s">
        <v>827</v>
      </c>
      <c r="E14" s="5" t="s">
        <v>781</v>
      </c>
      <c r="F14" s="5" t="s">
        <v>782</v>
      </c>
      <c r="G14" s="6" t="s">
        <v>828</v>
      </c>
      <c r="H14" s="5" t="s">
        <v>829</v>
      </c>
      <c r="I14" s="5" t="s">
        <v>785</v>
      </c>
      <c r="J14" s="6" t="s">
        <v>830</v>
      </c>
      <c r="K14" s="7" t="s">
        <v>831</v>
      </c>
    </row>
    <row r="15" spans="1:11">
      <c r="A15" s="5">
        <v>174</v>
      </c>
      <c r="B15" s="5">
        <v>3</v>
      </c>
      <c r="C15" s="5" t="s">
        <v>832</v>
      </c>
      <c r="D15" s="5" t="s">
        <v>833</v>
      </c>
      <c r="E15" s="5" t="s">
        <v>781</v>
      </c>
      <c r="F15" s="5" t="s">
        <v>782</v>
      </c>
      <c r="G15" s="6" t="s">
        <v>834</v>
      </c>
      <c r="H15" s="5" t="s">
        <v>829</v>
      </c>
      <c r="I15" s="5" t="s">
        <v>785</v>
      </c>
      <c r="J15" s="6" t="s">
        <v>835</v>
      </c>
      <c r="K15" s="7" t="s">
        <v>836</v>
      </c>
    </row>
    <row r="16" spans="1:11">
      <c r="A16" s="5">
        <v>175</v>
      </c>
      <c r="B16" s="5">
        <v>3</v>
      </c>
      <c r="C16" s="5" t="s">
        <v>837</v>
      </c>
      <c r="D16" s="5" t="s">
        <v>838</v>
      </c>
      <c r="E16" s="5" t="s">
        <v>781</v>
      </c>
      <c r="F16" s="5" t="s">
        <v>782</v>
      </c>
      <c r="G16" s="6" t="s">
        <v>839</v>
      </c>
      <c r="H16" s="5" t="s">
        <v>829</v>
      </c>
      <c r="I16" s="5" t="s">
        <v>785</v>
      </c>
      <c r="J16" s="6" t="s">
        <v>840</v>
      </c>
      <c r="K16" s="7" t="s">
        <v>841</v>
      </c>
    </row>
    <row r="17" spans="1:11">
      <c r="A17" s="5">
        <v>176</v>
      </c>
      <c r="B17" s="5">
        <v>3</v>
      </c>
      <c r="C17" s="5" t="s">
        <v>842</v>
      </c>
      <c r="D17" s="5">
        <v>2287</v>
      </c>
      <c r="E17" s="5" t="s">
        <v>781</v>
      </c>
      <c r="F17" s="5" t="s">
        <v>782</v>
      </c>
      <c r="G17" s="6" t="s">
        <v>843</v>
      </c>
      <c r="H17" s="5" t="s">
        <v>829</v>
      </c>
      <c r="I17" s="5" t="s">
        <v>785</v>
      </c>
      <c r="J17" s="6" t="s">
        <v>844</v>
      </c>
      <c r="K17" s="7" t="s">
        <v>845</v>
      </c>
    </row>
    <row r="18" spans="1:11">
      <c r="A18" s="5">
        <v>177</v>
      </c>
      <c r="B18" s="5">
        <v>3</v>
      </c>
      <c r="C18" s="5" t="s">
        <v>846</v>
      </c>
      <c r="D18" s="5" t="s">
        <v>847</v>
      </c>
      <c r="E18" s="5" t="s">
        <v>781</v>
      </c>
      <c r="F18" s="5" t="s">
        <v>782</v>
      </c>
      <c r="G18" s="6" t="s">
        <v>848</v>
      </c>
      <c r="H18" s="5" t="s">
        <v>829</v>
      </c>
      <c r="I18" s="5" t="s">
        <v>785</v>
      </c>
      <c r="J18" s="6" t="s">
        <v>849</v>
      </c>
      <c r="K18" s="7" t="s">
        <v>850</v>
      </c>
    </row>
    <row r="19" spans="1:11">
      <c r="A19" s="5">
        <v>178</v>
      </c>
      <c r="B19" s="5">
        <v>3</v>
      </c>
      <c r="C19" s="5" t="s">
        <v>851</v>
      </c>
      <c r="D19" s="5">
        <v>2297</v>
      </c>
      <c r="E19" s="5" t="s">
        <v>781</v>
      </c>
      <c r="F19" s="5" t="s">
        <v>782</v>
      </c>
      <c r="G19" s="6" t="s">
        <v>852</v>
      </c>
      <c r="H19" s="5" t="s">
        <v>829</v>
      </c>
      <c r="I19" s="5" t="s">
        <v>785</v>
      </c>
      <c r="J19" s="6" t="s">
        <v>853</v>
      </c>
      <c r="K19" s="7" t="s">
        <v>854</v>
      </c>
    </row>
    <row r="20" spans="1:11">
      <c r="A20" s="5">
        <v>179</v>
      </c>
      <c r="B20" s="5">
        <v>3</v>
      </c>
      <c r="C20" s="5" t="s">
        <v>855</v>
      </c>
      <c r="D20" s="5" t="s">
        <v>856</v>
      </c>
      <c r="E20" s="5" t="s">
        <v>781</v>
      </c>
      <c r="F20" s="5" t="s">
        <v>782</v>
      </c>
      <c r="G20" s="6" t="s">
        <v>857</v>
      </c>
      <c r="H20" s="5" t="s">
        <v>829</v>
      </c>
      <c r="I20" s="5" t="s">
        <v>785</v>
      </c>
      <c r="J20" s="6" t="s">
        <v>858</v>
      </c>
      <c r="K20" s="7" t="s">
        <v>859</v>
      </c>
    </row>
    <row r="21" spans="1:11">
      <c r="A21" s="5">
        <v>180</v>
      </c>
      <c r="B21" s="5">
        <v>3</v>
      </c>
      <c r="C21" s="5" t="s">
        <v>860</v>
      </c>
      <c r="D21" s="5" t="s">
        <v>861</v>
      </c>
      <c r="E21" s="5" t="s">
        <v>781</v>
      </c>
      <c r="F21" s="5" t="s">
        <v>782</v>
      </c>
      <c r="G21" s="6" t="s">
        <v>862</v>
      </c>
      <c r="H21" s="5" t="s">
        <v>829</v>
      </c>
      <c r="I21" s="5" t="s">
        <v>785</v>
      </c>
      <c r="J21" s="6" t="s">
        <v>863</v>
      </c>
      <c r="K21" s="7" t="s">
        <v>864</v>
      </c>
    </row>
    <row r="22" spans="1:11">
      <c r="A22" s="5">
        <v>181</v>
      </c>
      <c r="B22" s="5">
        <v>3</v>
      </c>
      <c r="C22" s="5" t="s">
        <v>865</v>
      </c>
      <c r="D22" s="5" t="s">
        <v>866</v>
      </c>
      <c r="E22" s="5" t="s">
        <v>781</v>
      </c>
      <c r="F22" s="5" t="s">
        <v>782</v>
      </c>
      <c r="G22" s="6" t="s">
        <v>867</v>
      </c>
      <c r="H22" s="5" t="s">
        <v>829</v>
      </c>
      <c r="I22" s="5" t="s">
        <v>785</v>
      </c>
      <c r="J22" s="6" t="s">
        <v>868</v>
      </c>
      <c r="K22" s="7" t="s">
        <v>869</v>
      </c>
    </row>
    <row r="23" spans="1:11">
      <c r="A23" s="5">
        <v>182</v>
      </c>
      <c r="B23" s="5">
        <v>3</v>
      </c>
      <c r="C23" s="5" t="s">
        <v>870</v>
      </c>
      <c r="D23" s="5">
        <v>2264</v>
      </c>
      <c r="E23" s="5" t="s">
        <v>781</v>
      </c>
      <c r="F23" s="5" t="s">
        <v>821</v>
      </c>
      <c r="G23" s="6" t="s">
        <v>871</v>
      </c>
      <c r="H23" s="5" t="s">
        <v>829</v>
      </c>
      <c r="I23" s="5" t="s">
        <v>785</v>
      </c>
      <c r="J23" s="6" t="s">
        <v>840</v>
      </c>
      <c r="K23" s="7" t="s">
        <v>841</v>
      </c>
    </row>
    <row r="24" spans="1:11">
      <c r="A24" s="5">
        <v>183</v>
      </c>
      <c r="B24" s="5">
        <v>3</v>
      </c>
      <c r="C24" s="5" t="s">
        <v>872</v>
      </c>
      <c r="D24" s="5" t="s">
        <v>873</v>
      </c>
      <c r="E24" s="5" t="s">
        <v>781</v>
      </c>
      <c r="F24" s="5" t="s">
        <v>821</v>
      </c>
      <c r="G24" s="6" t="s">
        <v>874</v>
      </c>
      <c r="H24" s="5" t="s">
        <v>829</v>
      </c>
      <c r="I24" s="5" t="s">
        <v>785</v>
      </c>
      <c r="J24" s="6" t="s">
        <v>849</v>
      </c>
      <c r="K24" s="7" t="s">
        <v>850</v>
      </c>
    </row>
    <row r="25" spans="1:11">
      <c r="A25" s="5">
        <v>184</v>
      </c>
      <c r="B25" s="5">
        <v>3</v>
      </c>
      <c r="C25" s="5" t="s">
        <v>875</v>
      </c>
      <c r="D25" s="5" t="s">
        <v>876</v>
      </c>
      <c r="E25" s="5" t="s">
        <v>799</v>
      </c>
      <c r="F25" s="5" t="s">
        <v>782</v>
      </c>
      <c r="G25" s="6" t="s">
        <v>877</v>
      </c>
      <c r="H25" s="5" t="s">
        <v>829</v>
      </c>
      <c r="I25" s="5" t="s">
        <v>785</v>
      </c>
      <c r="J25" s="6" t="s">
        <v>878</v>
      </c>
      <c r="K25" s="7" t="s">
        <v>879</v>
      </c>
    </row>
    <row r="26" spans="1:11">
      <c r="A26" s="5">
        <v>185</v>
      </c>
      <c r="B26" s="5">
        <v>3</v>
      </c>
      <c r="C26" s="5" t="s">
        <v>880</v>
      </c>
      <c r="D26" s="5" t="s">
        <v>881</v>
      </c>
      <c r="E26" s="5" t="s">
        <v>799</v>
      </c>
      <c r="F26" s="5" t="s">
        <v>782</v>
      </c>
      <c r="G26" s="6" t="s">
        <v>882</v>
      </c>
      <c r="H26" s="5" t="s">
        <v>829</v>
      </c>
      <c r="I26" s="5" t="s">
        <v>785</v>
      </c>
      <c r="J26" s="6" t="s">
        <v>883</v>
      </c>
      <c r="K26" s="7" t="s">
        <v>884</v>
      </c>
    </row>
    <row r="27" spans="1:11">
      <c r="A27" s="5">
        <v>186</v>
      </c>
      <c r="B27" s="5">
        <v>3</v>
      </c>
      <c r="C27" s="5" t="s">
        <v>885</v>
      </c>
      <c r="D27" s="5" t="s">
        <v>886</v>
      </c>
      <c r="E27" s="5" t="s">
        <v>799</v>
      </c>
      <c r="F27" s="5" t="s">
        <v>782</v>
      </c>
      <c r="G27" s="6" t="s">
        <v>887</v>
      </c>
      <c r="H27" s="5" t="s">
        <v>829</v>
      </c>
      <c r="I27" s="5" t="s">
        <v>785</v>
      </c>
      <c r="J27" s="6" t="s">
        <v>888</v>
      </c>
      <c r="K27" s="7" t="s">
        <v>889</v>
      </c>
    </row>
    <row r="28" spans="1:11">
      <c r="A28" s="5">
        <v>187</v>
      </c>
      <c r="B28" s="5">
        <v>3</v>
      </c>
      <c r="C28" s="5" t="s">
        <v>890</v>
      </c>
      <c r="D28" s="5" t="s">
        <v>891</v>
      </c>
      <c r="E28" s="5" t="s">
        <v>799</v>
      </c>
      <c r="F28" s="5" t="s">
        <v>782</v>
      </c>
      <c r="G28" s="6" t="s">
        <v>892</v>
      </c>
      <c r="H28" s="5" t="s">
        <v>829</v>
      </c>
      <c r="I28" s="5" t="s">
        <v>785</v>
      </c>
      <c r="J28" s="6" t="s">
        <v>893</v>
      </c>
      <c r="K28" s="7" t="s">
        <v>894</v>
      </c>
    </row>
    <row r="29" spans="1:11">
      <c r="A29" s="5">
        <v>188</v>
      </c>
      <c r="B29" s="5">
        <v>3</v>
      </c>
      <c r="C29" s="5" t="s">
        <v>793</v>
      </c>
      <c r="D29" s="5" t="s">
        <v>793</v>
      </c>
      <c r="E29" s="8" t="s">
        <v>793</v>
      </c>
      <c r="F29" s="5" t="s">
        <v>821</v>
      </c>
      <c r="G29" s="6" t="s">
        <v>895</v>
      </c>
      <c r="H29" s="5" t="s">
        <v>829</v>
      </c>
      <c r="I29" s="5" t="s">
        <v>785</v>
      </c>
      <c r="J29" s="6" t="s">
        <v>896</v>
      </c>
      <c r="K29" s="7" t="s">
        <v>897</v>
      </c>
    </row>
    <row r="30" spans="1:11">
      <c r="A30" s="5">
        <v>189</v>
      </c>
      <c r="B30" s="5">
        <v>3</v>
      </c>
      <c r="C30" s="5" t="s">
        <v>898</v>
      </c>
      <c r="D30" s="5" t="s">
        <v>899</v>
      </c>
      <c r="E30" s="5" t="s">
        <v>781</v>
      </c>
      <c r="F30" s="5" t="s">
        <v>782</v>
      </c>
      <c r="G30" s="6" t="s">
        <v>900</v>
      </c>
      <c r="H30" s="5" t="s">
        <v>829</v>
      </c>
      <c r="I30" s="5" t="s">
        <v>785</v>
      </c>
      <c r="J30" s="6" t="s">
        <v>901</v>
      </c>
      <c r="K30" s="7" t="s">
        <v>902</v>
      </c>
    </row>
    <row r="31" spans="1:11">
      <c r="A31" s="5">
        <v>190</v>
      </c>
      <c r="B31" s="5">
        <v>3</v>
      </c>
      <c r="C31" s="5" t="s">
        <v>903</v>
      </c>
      <c r="D31" s="5" t="s">
        <v>904</v>
      </c>
      <c r="E31" s="5" t="s">
        <v>799</v>
      </c>
      <c r="F31" s="5" t="s">
        <v>782</v>
      </c>
      <c r="G31" s="6" t="s">
        <v>905</v>
      </c>
      <c r="H31" s="5" t="s">
        <v>906</v>
      </c>
      <c r="I31" s="5" t="s">
        <v>785</v>
      </c>
      <c r="J31" s="6" t="s">
        <v>907</v>
      </c>
      <c r="K31" s="7" t="s">
        <v>908</v>
      </c>
    </row>
    <row r="32" spans="1:11">
      <c r="A32" s="5">
        <v>191</v>
      </c>
      <c r="B32" s="5">
        <v>3</v>
      </c>
      <c r="C32" s="5" t="s">
        <v>909</v>
      </c>
      <c r="D32" s="5" t="s">
        <v>910</v>
      </c>
      <c r="E32" s="5" t="s">
        <v>799</v>
      </c>
      <c r="F32" s="5" t="s">
        <v>782</v>
      </c>
      <c r="G32" s="6" t="s">
        <v>911</v>
      </c>
      <c r="H32" s="5" t="s">
        <v>912</v>
      </c>
      <c r="I32" s="5" t="s">
        <v>785</v>
      </c>
      <c r="J32" s="6" t="s">
        <v>913</v>
      </c>
      <c r="K32" s="7" t="s">
        <v>914</v>
      </c>
    </row>
    <row r="33" spans="1:11">
      <c r="A33" s="5">
        <v>192</v>
      </c>
      <c r="B33" s="5">
        <v>3</v>
      </c>
      <c r="C33" s="5" t="s">
        <v>915</v>
      </c>
      <c r="D33" s="5" t="s">
        <v>916</v>
      </c>
      <c r="E33" s="5" t="s">
        <v>781</v>
      </c>
      <c r="F33" s="5" t="s">
        <v>782</v>
      </c>
      <c r="G33" s="6" t="s">
        <v>917</v>
      </c>
      <c r="H33" s="5" t="s">
        <v>918</v>
      </c>
      <c r="I33" s="5" t="s">
        <v>785</v>
      </c>
      <c r="J33" s="6" t="s">
        <v>919</v>
      </c>
      <c r="K33" s="7" t="s">
        <v>920</v>
      </c>
    </row>
    <row r="34" spans="1:11">
      <c r="A34" s="5">
        <v>193</v>
      </c>
      <c r="B34" s="5">
        <v>3</v>
      </c>
      <c r="C34" s="5" t="s">
        <v>921</v>
      </c>
      <c r="D34" s="5" t="s">
        <v>922</v>
      </c>
      <c r="E34" s="5" t="s">
        <v>799</v>
      </c>
      <c r="F34" s="5" t="s">
        <v>782</v>
      </c>
      <c r="G34" s="6" t="s">
        <v>923</v>
      </c>
      <c r="H34" s="5" t="s">
        <v>918</v>
      </c>
      <c r="I34" s="5" t="s">
        <v>785</v>
      </c>
      <c r="J34" s="6" t="s">
        <v>924</v>
      </c>
      <c r="K34" s="7" t="s">
        <v>925</v>
      </c>
    </row>
    <row r="35" spans="1:11">
      <c r="A35" s="5">
        <v>194</v>
      </c>
      <c r="B35" s="5">
        <v>3</v>
      </c>
      <c r="C35" s="5" t="s">
        <v>926</v>
      </c>
      <c r="D35" s="5" t="s">
        <v>927</v>
      </c>
      <c r="E35" s="5" t="s">
        <v>781</v>
      </c>
      <c r="F35" s="5" t="s">
        <v>782</v>
      </c>
      <c r="G35" s="6" t="s">
        <v>928</v>
      </c>
      <c r="H35" s="5" t="s">
        <v>929</v>
      </c>
      <c r="I35" s="5" t="s">
        <v>785</v>
      </c>
      <c r="J35" s="6" t="s">
        <v>930</v>
      </c>
      <c r="K35" s="7" t="s">
        <v>931</v>
      </c>
    </row>
    <row r="36" spans="1:11">
      <c r="A36" s="5">
        <v>195</v>
      </c>
      <c r="B36" s="5">
        <v>3</v>
      </c>
      <c r="C36" s="5" t="s">
        <v>932</v>
      </c>
      <c r="D36" s="5">
        <v>2293</v>
      </c>
      <c r="E36" s="5" t="s">
        <v>781</v>
      </c>
      <c r="F36" s="5" t="s">
        <v>782</v>
      </c>
      <c r="G36" s="6" t="s">
        <v>933</v>
      </c>
      <c r="H36" s="5" t="s">
        <v>929</v>
      </c>
      <c r="I36" s="5" t="s">
        <v>785</v>
      </c>
      <c r="J36" s="6" t="s">
        <v>934</v>
      </c>
      <c r="K36" s="7" t="s">
        <v>935</v>
      </c>
    </row>
    <row r="37" spans="1:11">
      <c r="A37" s="5">
        <v>196</v>
      </c>
      <c r="B37" s="5">
        <v>3</v>
      </c>
      <c r="C37" s="5" t="s">
        <v>936</v>
      </c>
      <c r="D37" s="5" t="s">
        <v>937</v>
      </c>
      <c r="E37" s="5" t="s">
        <v>781</v>
      </c>
      <c r="F37" s="5" t="s">
        <v>782</v>
      </c>
      <c r="G37" s="6" t="s">
        <v>938</v>
      </c>
      <c r="H37" s="5" t="s">
        <v>929</v>
      </c>
      <c r="I37" s="5" t="s">
        <v>785</v>
      </c>
      <c r="J37" s="6" t="s">
        <v>939</v>
      </c>
      <c r="K37" s="7" t="s">
        <v>940</v>
      </c>
    </row>
    <row r="38" spans="1:11">
      <c r="A38" s="5">
        <v>197</v>
      </c>
      <c r="B38" s="5">
        <v>3</v>
      </c>
      <c r="C38" s="5" t="s">
        <v>941</v>
      </c>
      <c r="D38" s="5" t="s">
        <v>942</v>
      </c>
      <c r="E38" s="5" t="s">
        <v>781</v>
      </c>
      <c r="F38" s="5" t="s">
        <v>782</v>
      </c>
      <c r="G38" s="6" t="s">
        <v>943</v>
      </c>
      <c r="H38" s="5" t="s">
        <v>929</v>
      </c>
      <c r="I38" s="5" t="s">
        <v>785</v>
      </c>
      <c r="J38" s="6" t="s">
        <v>944</v>
      </c>
      <c r="K38" s="7" t="s">
        <v>945</v>
      </c>
    </row>
    <row r="39" spans="1:11">
      <c r="A39" s="5">
        <v>198</v>
      </c>
      <c r="B39" s="5">
        <v>3</v>
      </c>
      <c r="C39" s="5" t="s">
        <v>946</v>
      </c>
      <c r="D39" s="5" t="s">
        <v>947</v>
      </c>
      <c r="E39" s="5" t="s">
        <v>781</v>
      </c>
      <c r="F39" s="5" t="s">
        <v>821</v>
      </c>
      <c r="G39" s="6" t="s">
        <v>948</v>
      </c>
      <c r="H39" s="5" t="s">
        <v>929</v>
      </c>
      <c r="I39" s="5" t="s">
        <v>785</v>
      </c>
      <c r="J39" s="6" t="s">
        <v>934</v>
      </c>
      <c r="K39" s="7" t="s">
        <v>935</v>
      </c>
    </row>
    <row r="40" spans="1:11">
      <c r="A40" s="5">
        <v>199</v>
      </c>
      <c r="B40" s="5">
        <v>3</v>
      </c>
      <c r="C40" s="5" t="s">
        <v>949</v>
      </c>
      <c r="D40" s="5" t="s">
        <v>950</v>
      </c>
      <c r="E40" s="5" t="s">
        <v>799</v>
      </c>
      <c r="F40" s="5" t="s">
        <v>782</v>
      </c>
      <c r="G40" s="6" t="s">
        <v>951</v>
      </c>
      <c r="H40" s="5" t="s">
        <v>929</v>
      </c>
      <c r="I40" s="5" t="s">
        <v>785</v>
      </c>
      <c r="J40" s="6" t="s">
        <v>952</v>
      </c>
      <c r="K40" s="7" t="s">
        <v>953</v>
      </c>
    </row>
    <row r="41" spans="1:11">
      <c r="A41" s="5">
        <v>200</v>
      </c>
      <c r="B41" s="5">
        <v>3</v>
      </c>
      <c r="C41" s="5" t="s">
        <v>954</v>
      </c>
      <c r="D41" s="5" t="s">
        <v>955</v>
      </c>
      <c r="E41" s="5" t="s">
        <v>781</v>
      </c>
      <c r="F41" s="5" t="s">
        <v>782</v>
      </c>
      <c r="G41" s="6" t="s">
        <v>956</v>
      </c>
      <c r="H41" s="5" t="s">
        <v>957</v>
      </c>
      <c r="I41" s="5" t="s">
        <v>958</v>
      </c>
      <c r="J41" s="6" t="s">
        <v>959</v>
      </c>
      <c r="K41" s="7" t="s">
        <v>960</v>
      </c>
    </row>
    <row r="42" spans="1:11">
      <c r="A42" s="5">
        <v>201</v>
      </c>
      <c r="B42" s="5">
        <v>3</v>
      </c>
      <c r="C42" s="5" t="s">
        <v>961</v>
      </c>
      <c r="D42" s="5" t="s">
        <v>962</v>
      </c>
      <c r="E42" s="5" t="s">
        <v>781</v>
      </c>
      <c r="F42" s="5" t="s">
        <v>782</v>
      </c>
      <c r="G42" s="6" t="s">
        <v>963</v>
      </c>
      <c r="H42" s="5" t="s">
        <v>957</v>
      </c>
      <c r="I42" s="5" t="s">
        <v>958</v>
      </c>
      <c r="J42" s="6" t="s">
        <v>964</v>
      </c>
      <c r="K42" s="7" t="s">
        <v>965</v>
      </c>
    </row>
    <row r="43" spans="1:11">
      <c r="A43" s="5">
        <v>202</v>
      </c>
      <c r="B43" s="5">
        <v>3</v>
      </c>
      <c r="C43" s="5" t="s">
        <v>966</v>
      </c>
      <c r="D43" s="5">
        <v>2251</v>
      </c>
      <c r="E43" s="5" t="s">
        <v>781</v>
      </c>
      <c r="F43" s="5" t="s">
        <v>821</v>
      </c>
      <c r="G43" s="6" t="s">
        <v>967</v>
      </c>
      <c r="H43" s="5" t="s">
        <v>957</v>
      </c>
      <c r="I43" s="5" t="s">
        <v>958</v>
      </c>
      <c r="J43" s="6" t="s">
        <v>959</v>
      </c>
      <c r="K43" s="7" t="s">
        <v>960</v>
      </c>
    </row>
    <row r="44" spans="1:11">
      <c r="A44" s="5">
        <v>203</v>
      </c>
      <c r="B44" s="5">
        <v>3</v>
      </c>
      <c r="C44" s="5" t="s">
        <v>968</v>
      </c>
      <c r="D44" s="5">
        <v>2253</v>
      </c>
      <c r="E44" s="5" t="s">
        <v>781</v>
      </c>
      <c r="F44" s="5" t="s">
        <v>821</v>
      </c>
      <c r="G44" s="6" t="s">
        <v>969</v>
      </c>
      <c r="H44" s="5" t="s">
        <v>957</v>
      </c>
      <c r="I44" s="5" t="s">
        <v>958</v>
      </c>
      <c r="J44" s="6" t="s">
        <v>964</v>
      </c>
      <c r="K44" s="7" t="s">
        <v>965</v>
      </c>
    </row>
    <row r="45" spans="1:11">
      <c r="A45" s="5">
        <v>204</v>
      </c>
      <c r="B45" s="5">
        <v>3</v>
      </c>
      <c r="C45" s="5" t="s">
        <v>970</v>
      </c>
      <c r="D45" s="5" t="s">
        <v>971</v>
      </c>
      <c r="E45" s="5" t="s">
        <v>799</v>
      </c>
      <c r="F45" s="5" t="s">
        <v>782</v>
      </c>
      <c r="G45" s="6" t="s">
        <v>972</v>
      </c>
      <c r="H45" s="5" t="s">
        <v>957</v>
      </c>
      <c r="I45" s="5" t="s">
        <v>958</v>
      </c>
      <c r="J45" s="6" t="s">
        <v>973</v>
      </c>
      <c r="K45" s="7" t="s">
        <v>974</v>
      </c>
    </row>
    <row r="46" spans="1:11">
      <c r="A46" s="5">
        <v>205</v>
      </c>
      <c r="B46" s="5">
        <v>3</v>
      </c>
      <c r="C46" s="5" t="s">
        <v>793</v>
      </c>
      <c r="D46" s="5" t="s">
        <v>793</v>
      </c>
      <c r="E46" s="8" t="s">
        <v>793</v>
      </c>
      <c r="F46" s="5" t="s">
        <v>782</v>
      </c>
      <c r="G46" s="6" t="s">
        <v>975</v>
      </c>
      <c r="H46" s="5" t="s">
        <v>957</v>
      </c>
      <c r="I46" s="5" t="s">
        <v>958</v>
      </c>
      <c r="J46" s="6" t="s">
        <v>976</v>
      </c>
      <c r="K46" s="7" t="s">
        <v>977</v>
      </c>
    </row>
    <row r="47" spans="1:11">
      <c r="A47" s="5">
        <v>206</v>
      </c>
      <c r="B47" s="5">
        <v>3</v>
      </c>
      <c r="C47" s="5" t="s">
        <v>978</v>
      </c>
      <c r="D47" s="5">
        <v>2249</v>
      </c>
      <c r="E47" s="5" t="s">
        <v>799</v>
      </c>
      <c r="F47" s="5" t="s">
        <v>782</v>
      </c>
      <c r="G47" s="6" t="s">
        <v>979</v>
      </c>
      <c r="H47" s="5" t="s">
        <v>980</v>
      </c>
      <c r="I47" s="5" t="s">
        <v>958</v>
      </c>
      <c r="J47" s="6" t="s">
        <v>981</v>
      </c>
      <c r="K47" s="7" t="s">
        <v>982</v>
      </c>
    </row>
    <row r="48" spans="1:11">
      <c r="A48" s="5">
        <v>207</v>
      </c>
      <c r="B48" s="5">
        <v>3</v>
      </c>
      <c r="C48" s="5" t="s">
        <v>983</v>
      </c>
      <c r="D48" s="5" t="s">
        <v>984</v>
      </c>
      <c r="E48" s="5" t="s">
        <v>781</v>
      </c>
      <c r="F48" s="5" t="s">
        <v>782</v>
      </c>
      <c r="G48" s="6" t="s">
        <v>985</v>
      </c>
      <c r="H48" s="5" t="s">
        <v>980</v>
      </c>
      <c r="I48" s="5" t="s">
        <v>958</v>
      </c>
      <c r="J48" s="6" t="s">
        <v>986</v>
      </c>
      <c r="K48" s="7" t="s">
        <v>987</v>
      </c>
    </row>
    <row r="49" spans="1:11">
      <c r="A49" s="5">
        <v>208</v>
      </c>
      <c r="B49" s="5">
        <v>3</v>
      </c>
      <c r="C49" s="5" t="s">
        <v>988</v>
      </c>
      <c r="D49" s="5" t="s">
        <v>989</v>
      </c>
      <c r="E49" s="5" t="s">
        <v>799</v>
      </c>
      <c r="F49" s="5" t="s">
        <v>782</v>
      </c>
      <c r="G49" s="6" t="s">
        <v>990</v>
      </c>
      <c r="H49" s="5" t="s">
        <v>991</v>
      </c>
      <c r="I49" s="5" t="s">
        <v>958</v>
      </c>
      <c r="J49" s="6" t="s">
        <v>992</v>
      </c>
      <c r="K49" s="7" t="s">
        <v>993</v>
      </c>
    </row>
    <row r="50" spans="1:11">
      <c r="A50" s="5">
        <v>209</v>
      </c>
      <c r="B50" s="5">
        <v>3</v>
      </c>
      <c r="C50" s="5" t="s">
        <v>994</v>
      </c>
      <c r="D50" s="5" t="s">
        <v>995</v>
      </c>
      <c r="E50" s="5" t="s">
        <v>799</v>
      </c>
      <c r="F50" s="5" t="s">
        <v>782</v>
      </c>
      <c r="G50" s="6" t="s">
        <v>996</v>
      </c>
      <c r="H50" s="5" t="s">
        <v>991</v>
      </c>
      <c r="I50" s="5" t="s">
        <v>958</v>
      </c>
      <c r="J50" s="6" t="s">
        <v>997</v>
      </c>
      <c r="K50" s="7" t="s">
        <v>998</v>
      </c>
    </row>
    <row r="51" spans="1:11">
      <c r="A51" s="5">
        <v>210</v>
      </c>
      <c r="B51" s="5">
        <v>3</v>
      </c>
      <c r="C51" s="5" t="s">
        <v>999</v>
      </c>
      <c r="D51" s="5" t="s">
        <v>1000</v>
      </c>
      <c r="E51" s="5" t="s">
        <v>781</v>
      </c>
      <c r="F51" s="5" t="s">
        <v>782</v>
      </c>
      <c r="G51" s="6" t="s">
        <v>1001</v>
      </c>
      <c r="H51" s="5" t="s">
        <v>991</v>
      </c>
      <c r="I51" s="5" t="s">
        <v>958</v>
      </c>
      <c r="J51" s="6" t="s">
        <v>1002</v>
      </c>
      <c r="K51" s="7" t="s">
        <v>1003</v>
      </c>
    </row>
    <row r="52" spans="1:11">
      <c r="A52" s="5">
        <v>211</v>
      </c>
      <c r="B52" s="5">
        <v>3</v>
      </c>
      <c r="C52" s="5" t="s">
        <v>1004</v>
      </c>
      <c r="D52" s="5" t="s">
        <v>1005</v>
      </c>
      <c r="E52" s="5" t="s">
        <v>781</v>
      </c>
      <c r="F52" s="5" t="s">
        <v>782</v>
      </c>
      <c r="G52" s="6" t="s">
        <v>1006</v>
      </c>
      <c r="H52" s="5" t="s">
        <v>1007</v>
      </c>
      <c r="I52" s="5" t="s">
        <v>958</v>
      </c>
      <c r="J52" s="6" t="s">
        <v>1008</v>
      </c>
      <c r="K52" s="7" t="s">
        <v>1009</v>
      </c>
    </row>
    <row r="53" spans="1:11">
      <c r="A53" s="5">
        <v>212</v>
      </c>
      <c r="B53" s="5">
        <v>3</v>
      </c>
      <c r="C53" s="5" t="s">
        <v>1010</v>
      </c>
      <c r="D53" s="5" t="s">
        <v>1011</v>
      </c>
      <c r="E53" s="5" t="s">
        <v>781</v>
      </c>
      <c r="F53" s="5" t="s">
        <v>782</v>
      </c>
      <c r="G53" s="6" t="s">
        <v>1012</v>
      </c>
      <c r="H53" s="5" t="s">
        <v>1007</v>
      </c>
      <c r="I53" s="5" t="s">
        <v>958</v>
      </c>
      <c r="J53" s="6" t="s">
        <v>1013</v>
      </c>
      <c r="K53" s="7" t="s">
        <v>1014</v>
      </c>
    </row>
    <row r="54" spans="1:11">
      <c r="A54" s="5">
        <v>213</v>
      </c>
      <c r="B54" s="5">
        <v>3</v>
      </c>
      <c r="C54" s="5" t="s">
        <v>1015</v>
      </c>
      <c r="D54" s="5" t="s">
        <v>1016</v>
      </c>
      <c r="E54" s="5" t="s">
        <v>781</v>
      </c>
      <c r="F54" s="5" t="s">
        <v>782</v>
      </c>
      <c r="G54" s="6" t="s">
        <v>1017</v>
      </c>
      <c r="H54" s="5" t="s">
        <v>1007</v>
      </c>
      <c r="I54" s="5" t="s">
        <v>958</v>
      </c>
      <c r="J54" s="6" t="s">
        <v>1018</v>
      </c>
      <c r="K54" s="7" t="s">
        <v>1019</v>
      </c>
    </row>
    <row r="55" spans="1:11">
      <c r="A55" s="5">
        <v>214</v>
      </c>
      <c r="B55" s="5">
        <v>3</v>
      </c>
      <c r="C55" s="5" t="s">
        <v>1020</v>
      </c>
      <c r="D55" s="5" t="s">
        <v>1021</v>
      </c>
      <c r="E55" s="5" t="s">
        <v>781</v>
      </c>
      <c r="F55" s="5" t="s">
        <v>782</v>
      </c>
      <c r="G55" s="6" t="s">
        <v>1022</v>
      </c>
      <c r="H55" s="5" t="s">
        <v>1007</v>
      </c>
      <c r="I55" s="5" t="s">
        <v>958</v>
      </c>
      <c r="J55" s="6" t="s">
        <v>1023</v>
      </c>
      <c r="K55" s="7" t="s">
        <v>1024</v>
      </c>
    </row>
    <row r="56" spans="1:11">
      <c r="A56" s="5">
        <v>215</v>
      </c>
      <c r="B56" s="5">
        <v>3</v>
      </c>
      <c r="C56" s="5" t="s">
        <v>1025</v>
      </c>
      <c r="D56" s="5">
        <v>2254</v>
      </c>
      <c r="E56" s="5" t="s">
        <v>781</v>
      </c>
      <c r="F56" s="5" t="s">
        <v>821</v>
      </c>
      <c r="G56" s="6" t="s">
        <v>1026</v>
      </c>
      <c r="H56" s="5" t="s">
        <v>1007</v>
      </c>
      <c r="I56" s="5" t="s">
        <v>958</v>
      </c>
      <c r="J56" s="6" t="s">
        <v>1018</v>
      </c>
      <c r="K56" s="7" t="s">
        <v>1019</v>
      </c>
    </row>
    <row r="57" spans="1:11">
      <c r="A57" s="5">
        <v>216</v>
      </c>
      <c r="B57" s="5">
        <v>3</v>
      </c>
      <c r="C57" s="5" t="s">
        <v>1027</v>
      </c>
      <c r="D57" s="5">
        <v>2255</v>
      </c>
      <c r="E57" s="5" t="s">
        <v>781</v>
      </c>
      <c r="F57" s="5" t="s">
        <v>821</v>
      </c>
      <c r="G57" s="6" t="s">
        <v>1028</v>
      </c>
      <c r="H57" s="5" t="s">
        <v>1007</v>
      </c>
      <c r="I57" s="5" t="s">
        <v>958</v>
      </c>
      <c r="J57" s="6" t="s">
        <v>1013</v>
      </c>
      <c r="K57" s="7" t="s">
        <v>1014</v>
      </c>
    </row>
    <row r="58" spans="1:11">
      <c r="A58" s="5">
        <v>217</v>
      </c>
      <c r="B58" s="5">
        <v>3</v>
      </c>
      <c r="C58" s="5" t="s">
        <v>1029</v>
      </c>
      <c r="D58" s="5">
        <v>2256</v>
      </c>
      <c r="E58" s="5" t="s">
        <v>781</v>
      </c>
      <c r="F58" s="5" t="s">
        <v>821</v>
      </c>
      <c r="G58" s="6" t="s">
        <v>1030</v>
      </c>
      <c r="H58" s="5" t="s">
        <v>1007</v>
      </c>
      <c r="I58" s="5" t="s">
        <v>958</v>
      </c>
      <c r="J58" s="6" t="s">
        <v>1023</v>
      </c>
      <c r="K58" s="7" t="s">
        <v>1024</v>
      </c>
    </row>
    <row r="59" spans="1:11">
      <c r="A59" s="5">
        <v>218</v>
      </c>
      <c r="B59" s="5">
        <v>3</v>
      </c>
      <c r="C59" s="5" t="s">
        <v>1031</v>
      </c>
      <c r="D59" s="5" t="s">
        <v>1032</v>
      </c>
      <c r="E59" s="5" t="s">
        <v>799</v>
      </c>
      <c r="F59" s="5" t="s">
        <v>782</v>
      </c>
      <c r="G59" s="6" t="s">
        <v>1033</v>
      </c>
      <c r="H59" s="5" t="s">
        <v>1007</v>
      </c>
      <c r="I59" s="5" t="s">
        <v>958</v>
      </c>
      <c r="J59" s="6" t="s">
        <v>1034</v>
      </c>
      <c r="K59" s="7" t="s">
        <v>1035</v>
      </c>
    </row>
    <row r="60" spans="1:11">
      <c r="A60" s="5">
        <v>219</v>
      </c>
      <c r="B60" s="5">
        <v>3</v>
      </c>
      <c r="C60" s="5" t="s">
        <v>1036</v>
      </c>
      <c r="D60" s="5" t="s">
        <v>1037</v>
      </c>
      <c r="E60" s="5" t="s">
        <v>799</v>
      </c>
      <c r="F60" s="5" t="s">
        <v>782</v>
      </c>
      <c r="G60" s="6" t="s">
        <v>1038</v>
      </c>
      <c r="H60" s="5" t="s">
        <v>1007</v>
      </c>
      <c r="I60" s="5" t="s">
        <v>958</v>
      </c>
      <c r="J60" s="6" t="s">
        <v>1039</v>
      </c>
      <c r="K60" s="7" t="s">
        <v>1040</v>
      </c>
    </row>
    <row r="61" spans="1:11">
      <c r="A61" s="5">
        <v>220</v>
      </c>
      <c r="B61" s="5">
        <v>3</v>
      </c>
      <c r="C61" s="5" t="s">
        <v>1041</v>
      </c>
      <c r="D61" s="5" t="s">
        <v>1042</v>
      </c>
      <c r="E61" s="5" t="s">
        <v>799</v>
      </c>
      <c r="F61" s="5" t="s">
        <v>782</v>
      </c>
      <c r="G61" s="6" t="s">
        <v>1043</v>
      </c>
      <c r="H61" s="5" t="s">
        <v>1007</v>
      </c>
      <c r="I61" s="5" t="s">
        <v>958</v>
      </c>
      <c r="J61" s="6" t="s">
        <v>1044</v>
      </c>
      <c r="K61" s="7" t="s">
        <v>1045</v>
      </c>
    </row>
    <row r="62" spans="1:11">
      <c r="A62" s="5">
        <v>221</v>
      </c>
      <c r="B62" s="5">
        <v>3</v>
      </c>
      <c r="C62" s="5" t="s">
        <v>1046</v>
      </c>
      <c r="D62" s="5" t="s">
        <v>1047</v>
      </c>
      <c r="E62" s="5" t="s">
        <v>799</v>
      </c>
      <c r="F62" s="5" t="s">
        <v>782</v>
      </c>
      <c r="G62" s="6" t="s">
        <v>1048</v>
      </c>
      <c r="H62" s="5" t="s">
        <v>1007</v>
      </c>
      <c r="I62" s="5" t="s">
        <v>958</v>
      </c>
      <c r="J62" s="6" t="s">
        <v>1049</v>
      </c>
      <c r="K62" s="26" t="s">
        <v>1050</v>
      </c>
    </row>
    <row r="63" spans="1:11">
      <c r="A63" s="5">
        <v>222</v>
      </c>
      <c r="B63" s="5">
        <v>3</v>
      </c>
      <c r="C63" s="5" t="s">
        <v>1051</v>
      </c>
      <c r="D63" s="5">
        <v>2281</v>
      </c>
      <c r="E63" s="5" t="s">
        <v>799</v>
      </c>
      <c r="F63" s="5" t="s">
        <v>821</v>
      </c>
      <c r="G63" s="6" t="s">
        <v>1052</v>
      </c>
      <c r="H63" s="5" t="s">
        <v>1007</v>
      </c>
      <c r="I63" s="5" t="s">
        <v>958</v>
      </c>
      <c r="J63" s="6" t="s">
        <v>1053</v>
      </c>
      <c r="K63" s="7" t="s">
        <v>1054</v>
      </c>
    </row>
    <row r="64" spans="1:11">
      <c r="A64" s="5">
        <v>223</v>
      </c>
      <c r="B64" s="5">
        <v>3</v>
      </c>
      <c r="C64" s="5" t="s">
        <v>1055</v>
      </c>
      <c r="D64" s="5" t="s">
        <v>1056</v>
      </c>
      <c r="E64" s="5" t="s">
        <v>799</v>
      </c>
      <c r="F64" s="5" t="s">
        <v>782</v>
      </c>
      <c r="G64" s="6" t="s">
        <v>1057</v>
      </c>
      <c r="H64" s="5" t="s">
        <v>1007</v>
      </c>
      <c r="I64" s="5" t="s">
        <v>958</v>
      </c>
      <c r="J64" s="6" t="s">
        <v>1058</v>
      </c>
      <c r="K64" s="7" t="s">
        <v>1059</v>
      </c>
    </row>
    <row r="65" spans="1:11">
      <c r="A65" s="5">
        <v>224</v>
      </c>
      <c r="B65" s="5">
        <v>3</v>
      </c>
      <c r="C65" s="5" t="s">
        <v>1060</v>
      </c>
      <c r="D65" s="5">
        <v>2241</v>
      </c>
      <c r="E65" s="5" t="s">
        <v>781</v>
      </c>
      <c r="F65" s="5" t="s">
        <v>782</v>
      </c>
      <c r="G65" s="6" t="s">
        <v>1061</v>
      </c>
      <c r="H65" s="5" t="s">
        <v>1062</v>
      </c>
      <c r="I65" s="5" t="s">
        <v>1063</v>
      </c>
      <c r="J65" s="6" t="s">
        <v>1064</v>
      </c>
      <c r="K65" s="7" t="s">
        <v>1065</v>
      </c>
    </row>
    <row r="66" spans="1:11">
      <c r="A66" s="5">
        <v>225</v>
      </c>
      <c r="B66" s="5">
        <v>3</v>
      </c>
      <c r="C66" s="5" t="s">
        <v>1066</v>
      </c>
      <c r="D66" s="5" t="s">
        <v>1067</v>
      </c>
      <c r="E66" s="5" t="s">
        <v>781</v>
      </c>
      <c r="F66" s="5" t="s">
        <v>782</v>
      </c>
      <c r="G66" s="6" t="s">
        <v>1068</v>
      </c>
      <c r="H66" s="5" t="s">
        <v>1062</v>
      </c>
      <c r="I66" s="5" t="s">
        <v>1063</v>
      </c>
      <c r="J66" s="6" t="s">
        <v>1069</v>
      </c>
      <c r="K66" s="7" t="s">
        <v>1070</v>
      </c>
    </row>
    <row r="67" spans="1:11">
      <c r="A67" s="5">
        <v>226</v>
      </c>
      <c r="B67" s="5">
        <v>3</v>
      </c>
      <c r="C67" s="5" t="s">
        <v>1071</v>
      </c>
      <c r="D67" s="5" t="s">
        <v>1072</v>
      </c>
      <c r="E67" s="5" t="s">
        <v>781</v>
      </c>
      <c r="F67" s="5" t="s">
        <v>782</v>
      </c>
      <c r="G67" s="6" t="s">
        <v>1073</v>
      </c>
      <c r="H67" s="5" t="s">
        <v>1062</v>
      </c>
      <c r="I67" s="5" t="s">
        <v>1063</v>
      </c>
      <c r="J67" s="6" t="s">
        <v>1074</v>
      </c>
      <c r="K67" s="7" t="s">
        <v>1075</v>
      </c>
    </row>
    <row r="68" spans="1:11">
      <c r="A68" s="5">
        <v>227</v>
      </c>
      <c r="B68" s="5">
        <v>3</v>
      </c>
      <c r="C68" s="5" t="s">
        <v>1076</v>
      </c>
      <c r="D68" s="5" t="s">
        <v>1077</v>
      </c>
      <c r="E68" s="5" t="s">
        <v>781</v>
      </c>
      <c r="F68" s="5" t="s">
        <v>782</v>
      </c>
      <c r="G68" s="6" t="s">
        <v>1078</v>
      </c>
      <c r="H68" s="5" t="s">
        <v>1062</v>
      </c>
      <c r="I68" s="5" t="s">
        <v>1063</v>
      </c>
      <c r="J68" s="6" t="s">
        <v>1079</v>
      </c>
      <c r="K68" s="7" t="s">
        <v>1080</v>
      </c>
    </row>
    <row r="69" spans="1:11">
      <c r="A69" s="5">
        <v>228</v>
      </c>
      <c r="B69" s="5">
        <v>3</v>
      </c>
      <c r="C69" s="5" t="s">
        <v>1081</v>
      </c>
      <c r="D69" s="5" t="s">
        <v>1082</v>
      </c>
      <c r="E69" s="5" t="s">
        <v>781</v>
      </c>
      <c r="F69" s="5" t="s">
        <v>782</v>
      </c>
      <c r="G69" s="6" t="s">
        <v>1083</v>
      </c>
      <c r="H69" s="5" t="s">
        <v>1062</v>
      </c>
      <c r="I69" s="5" t="s">
        <v>1063</v>
      </c>
      <c r="J69" s="6" t="s">
        <v>1084</v>
      </c>
      <c r="K69" s="7" t="s">
        <v>1085</v>
      </c>
    </row>
    <row r="70" spans="1:11">
      <c r="A70" s="5">
        <v>229</v>
      </c>
      <c r="B70" s="5">
        <v>3</v>
      </c>
      <c r="C70" s="5" t="s">
        <v>1086</v>
      </c>
      <c r="D70" s="5" t="s">
        <v>1087</v>
      </c>
      <c r="E70" s="5" t="s">
        <v>781</v>
      </c>
      <c r="F70" s="5" t="s">
        <v>782</v>
      </c>
      <c r="G70" s="6" t="s">
        <v>1088</v>
      </c>
      <c r="H70" s="5" t="s">
        <v>1062</v>
      </c>
      <c r="I70" s="5" t="s">
        <v>1063</v>
      </c>
      <c r="J70" s="6" t="s">
        <v>1089</v>
      </c>
      <c r="K70" s="7" t="s">
        <v>1090</v>
      </c>
    </row>
    <row r="71" spans="1:11">
      <c r="A71" s="5">
        <v>230</v>
      </c>
      <c r="B71" s="5">
        <v>3</v>
      </c>
      <c r="C71" s="5" t="s">
        <v>1091</v>
      </c>
      <c r="D71" s="5" t="s">
        <v>1092</v>
      </c>
      <c r="E71" s="5" t="s">
        <v>781</v>
      </c>
      <c r="F71" s="5" t="s">
        <v>782</v>
      </c>
      <c r="G71" s="6" t="s">
        <v>1093</v>
      </c>
      <c r="H71" s="5" t="s">
        <v>1062</v>
      </c>
      <c r="I71" s="5" t="s">
        <v>1063</v>
      </c>
      <c r="J71" s="6" t="s">
        <v>1094</v>
      </c>
      <c r="K71" s="7" t="s">
        <v>1095</v>
      </c>
    </row>
    <row r="72" spans="1:11">
      <c r="A72" s="5">
        <v>231</v>
      </c>
      <c r="B72" s="5">
        <v>3</v>
      </c>
      <c r="C72" s="5" t="s">
        <v>1096</v>
      </c>
      <c r="D72" s="5" t="s">
        <v>1097</v>
      </c>
      <c r="E72" s="5" t="s">
        <v>781</v>
      </c>
      <c r="F72" s="5" t="s">
        <v>782</v>
      </c>
      <c r="G72" s="6" t="s">
        <v>1098</v>
      </c>
      <c r="H72" s="5" t="s">
        <v>1062</v>
      </c>
      <c r="I72" s="5" t="s">
        <v>1063</v>
      </c>
      <c r="J72" s="6" t="s">
        <v>1099</v>
      </c>
      <c r="K72" s="7" t="s">
        <v>1100</v>
      </c>
    </row>
    <row r="73" spans="1:11">
      <c r="A73" s="5">
        <v>232</v>
      </c>
      <c r="B73" s="5">
        <v>3</v>
      </c>
      <c r="C73" s="5" t="s">
        <v>1101</v>
      </c>
      <c r="D73" s="5">
        <v>2299</v>
      </c>
      <c r="E73" s="5" t="s">
        <v>781</v>
      </c>
      <c r="F73" s="5" t="s">
        <v>782</v>
      </c>
      <c r="G73" s="6" t="s">
        <v>1102</v>
      </c>
      <c r="H73" s="5" t="s">
        <v>1062</v>
      </c>
      <c r="I73" s="5" t="s">
        <v>1063</v>
      </c>
      <c r="J73" s="6" t="s">
        <v>1103</v>
      </c>
      <c r="K73" s="7" t="s">
        <v>1104</v>
      </c>
    </row>
    <row r="74" spans="1:11">
      <c r="A74" s="5">
        <v>233</v>
      </c>
      <c r="B74" s="5">
        <v>3</v>
      </c>
      <c r="C74" s="5" t="s">
        <v>1105</v>
      </c>
      <c r="D74" s="5" t="s">
        <v>1106</v>
      </c>
      <c r="E74" s="5" t="s">
        <v>781</v>
      </c>
      <c r="F74" s="5" t="s">
        <v>782</v>
      </c>
      <c r="G74" s="6" t="s">
        <v>1107</v>
      </c>
      <c r="H74" s="5" t="s">
        <v>1062</v>
      </c>
      <c r="I74" s="5" t="s">
        <v>1063</v>
      </c>
      <c r="J74" s="6" t="s">
        <v>1108</v>
      </c>
      <c r="K74" s="7" t="s">
        <v>1109</v>
      </c>
    </row>
    <row r="75" spans="1:11">
      <c r="A75" s="5">
        <v>234</v>
      </c>
      <c r="B75" s="5">
        <v>3</v>
      </c>
      <c r="C75" s="5" t="s">
        <v>1110</v>
      </c>
      <c r="D75" s="5" t="s">
        <v>1111</v>
      </c>
      <c r="E75" s="5" t="s">
        <v>781</v>
      </c>
      <c r="F75" s="5" t="s">
        <v>782</v>
      </c>
      <c r="G75" s="6" t="s">
        <v>1112</v>
      </c>
      <c r="H75" s="5" t="s">
        <v>1062</v>
      </c>
      <c r="I75" s="5" t="s">
        <v>1063</v>
      </c>
      <c r="J75" s="6" t="s">
        <v>1113</v>
      </c>
      <c r="K75" s="7" t="s">
        <v>1114</v>
      </c>
    </row>
    <row r="76" spans="1:11">
      <c r="A76" s="5">
        <v>235</v>
      </c>
      <c r="B76" s="5">
        <v>3</v>
      </c>
      <c r="C76" s="5" t="s">
        <v>1115</v>
      </c>
      <c r="D76" s="5">
        <v>2265</v>
      </c>
      <c r="E76" s="5" t="s">
        <v>781</v>
      </c>
      <c r="F76" s="5" t="s">
        <v>821</v>
      </c>
      <c r="G76" s="6" t="s">
        <v>1116</v>
      </c>
      <c r="H76" s="5" t="s">
        <v>1062</v>
      </c>
      <c r="I76" s="5" t="s">
        <v>1063</v>
      </c>
      <c r="J76" s="6" t="s">
        <v>1094</v>
      </c>
      <c r="K76" s="7" t="s">
        <v>1095</v>
      </c>
    </row>
    <row r="77" spans="1:11">
      <c r="A77" s="5">
        <v>236</v>
      </c>
      <c r="B77" s="5">
        <v>3</v>
      </c>
      <c r="C77" s="5" t="s">
        <v>1117</v>
      </c>
      <c r="D77" s="5" t="s">
        <v>1118</v>
      </c>
      <c r="E77" s="5" t="s">
        <v>781</v>
      </c>
      <c r="F77" s="5" t="s">
        <v>821</v>
      </c>
      <c r="G77" s="6" t="s">
        <v>1119</v>
      </c>
      <c r="H77" s="5" t="s">
        <v>1062</v>
      </c>
      <c r="I77" s="5" t="s">
        <v>1063</v>
      </c>
      <c r="J77" s="6" t="s">
        <v>1103</v>
      </c>
      <c r="K77" s="7" t="s">
        <v>1104</v>
      </c>
    </row>
    <row r="78" spans="1:11">
      <c r="A78" s="5">
        <v>237</v>
      </c>
      <c r="B78" s="5">
        <v>3</v>
      </c>
      <c r="C78" s="5" t="s">
        <v>1120</v>
      </c>
      <c r="D78" s="5">
        <v>2244</v>
      </c>
      <c r="E78" s="5" t="s">
        <v>799</v>
      </c>
      <c r="F78" s="5" t="s">
        <v>782</v>
      </c>
      <c r="G78" s="6" t="s">
        <v>1121</v>
      </c>
      <c r="H78" s="5" t="s">
        <v>1062</v>
      </c>
      <c r="I78" s="5" t="s">
        <v>1063</v>
      </c>
      <c r="J78" s="6" t="s">
        <v>1122</v>
      </c>
      <c r="K78" s="7" t="s">
        <v>1123</v>
      </c>
    </row>
    <row r="79" spans="1:11">
      <c r="A79" s="5">
        <v>238</v>
      </c>
      <c r="B79" s="5">
        <v>3</v>
      </c>
      <c r="C79" s="5" t="s">
        <v>1124</v>
      </c>
      <c r="D79" s="5" t="s">
        <v>1125</v>
      </c>
      <c r="E79" s="5" t="s">
        <v>799</v>
      </c>
      <c r="F79" s="5" t="s">
        <v>782</v>
      </c>
      <c r="G79" s="6" t="s">
        <v>1126</v>
      </c>
      <c r="H79" s="5" t="s">
        <v>1062</v>
      </c>
      <c r="I79" s="5" t="s">
        <v>1063</v>
      </c>
      <c r="J79" s="6" t="s">
        <v>1127</v>
      </c>
      <c r="K79" s="7" t="s">
        <v>1128</v>
      </c>
    </row>
    <row r="80" spans="1:11">
      <c r="A80" s="5">
        <v>239</v>
      </c>
      <c r="B80" s="5">
        <v>3</v>
      </c>
      <c r="C80" s="5" t="s">
        <v>1129</v>
      </c>
      <c r="D80" s="5" t="s">
        <v>1130</v>
      </c>
      <c r="E80" s="5" t="s">
        <v>781</v>
      </c>
      <c r="F80" s="5" t="s">
        <v>782</v>
      </c>
      <c r="G80" s="6" t="s">
        <v>1131</v>
      </c>
      <c r="H80" s="5" t="s">
        <v>1132</v>
      </c>
      <c r="I80" s="5" t="s">
        <v>1063</v>
      </c>
      <c r="J80" s="6" t="s">
        <v>1133</v>
      </c>
      <c r="K80" s="7" t="s">
        <v>1134</v>
      </c>
    </row>
    <row r="81" spans="1:11">
      <c r="A81" s="5">
        <v>240</v>
      </c>
      <c r="B81" s="5">
        <v>3</v>
      </c>
      <c r="C81" s="5" t="s">
        <v>1135</v>
      </c>
      <c r="D81" s="5" t="s">
        <v>1136</v>
      </c>
      <c r="E81" s="5" t="s">
        <v>781</v>
      </c>
      <c r="F81" s="5" t="s">
        <v>782</v>
      </c>
      <c r="G81" s="6" t="s">
        <v>1137</v>
      </c>
      <c r="H81" s="5" t="s">
        <v>1132</v>
      </c>
      <c r="I81" s="5" t="s">
        <v>1063</v>
      </c>
      <c r="J81" s="6" t="s">
        <v>1138</v>
      </c>
      <c r="K81" s="7" t="s">
        <v>1139</v>
      </c>
    </row>
    <row r="82" spans="1:11">
      <c r="A82" s="5">
        <v>241</v>
      </c>
      <c r="B82" s="5">
        <v>3</v>
      </c>
      <c r="C82" s="5" t="s">
        <v>1140</v>
      </c>
      <c r="D82" s="5" t="s">
        <v>1141</v>
      </c>
      <c r="E82" s="5" t="s">
        <v>781</v>
      </c>
      <c r="F82" s="5" t="s">
        <v>782</v>
      </c>
      <c r="G82" s="6" t="s">
        <v>1142</v>
      </c>
      <c r="H82" s="5" t="s">
        <v>1132</v>
      </c>
      <c r="I82" s="5" t="s">
        <v>1063</v>
      </c>
      <c r="J82" s="6" t="s">
        <v>1143</v>
      </c>
      <c r="K82" s="7" t="s">
        <v>1144</v>
      </c>
    </row>
    <row r="83" spans="1:11">
      <c r="A83" s="5">
        <v>242</v>
      </c>
      <c r="B83" s="5">
        <v>3</v>
      </c>
      <c r="C83" s="5" t="s">
        <v>1145</v>
      </c>
      <c r="D83" s="5" t="s">
        <v>1146</v>
      </c>
      <c r="E83" s="5" t="s">
        <v>781</v>
      </c>
      <c r="F83" s="5" t="s">
        <v>782</v>
      </c>
      <c r="G83" s="6" t="s">
        <v>1147</v>
      </c>
      <c r="H83" s="5" t="s">
        <v>1132</v>
      </c>
      <c r="I83" s="5" t="s">
        <v>1063</v>
      </c>
      <c r="J83" s="6" t="s">
        <v>1148</v>
      </c>
      <c r="K83" s="7" t="s">
        <v>1149</v>
      </c>
    </row>
    <row r="84" spans="1:11">
      <c r="A84" s="5">
        <v>243</v>
      </c>
      <c r="B84" s="5">
        <v>3</v>
      </c>
      <c r="C84" s="5" t="s">
        <v>1150</v>
      </c>
      <c r="D84" s="5">
        <v>2275</v>
      </c>
      <c r="E84" s="5" t="s">
        <v>781</v>
      </c>
      <c r="F84" s="5" t="s">
        <v>821</v>
      </c>
      <c r="G84" s="6" t="s">
        <v>1151</v>
      </c>
      <c r="H84" s="5" t="s">
        <v>1132</v>
      </c>
      <c r="I84" s="5" t="s">
        <v>1063</v>
      </c>
      <c r="J84" s="6" t="s">
        <v>1138</v>
      </c>
      <c r="K84" s="7" t="s">
        <v>1139</v>
      </c>
    </row>
    <row r="85" spans="1:11">
      <c r="A85" s="5">
        <v>244</v>
      </c>
      <c r="B85" s="5">
        <v>3</v>
      </c>
      <c r="C85" s="5" t="s">
        <v>1152</v>
      </c>
      <c r="D85" s="5" t="s">
        <v>1153</v>
      </c>
      <c r="E85" s="5" t="s">
        <v>781</v>
      </c>
      <c r="F85" s="5" t="s">
        <v>821</v>
      </c>
      <c r="G85" s="6" t="s">
        <v>1154</v>
      </c>
      <c r="H85" s="5" t="s">
        <v>1132</v>
      </c>
      <c r="I85" s="5" t="s">
        <v>1063</v>
      </c>
      <c r="J85" s="6" t="s">
        <v>1133</v>
      </c>
      <c r="K85" s="7" t="s">
        <v>1134</v>
      </c>
    </row>
    <row r="86" spans="1:11">
      <c r="A86" s="5">
        <v>245</v>
      </c>
      <c r="B86" s="5">
        <v>3</v>
      </c>
      <c r="C86" s="5" t="s">
        <v>1155</v>
      </c>
      <c r="D86" s="5">
        <v>2280</v>
      </c>
      <c r="E86" s="5" t="s">
        <v>799</v>
      </c>
      <c r="F86" s="5" t="s">
        <v>782</v>
      </c>
      <c r="G86" s="6" t="s">
        <v>1156</v>
      </c>
      <c r="H86" s="5" t="s">
        <v>1132</v>
      </c>
      <c r="I86" s="5" t="s">
        <v>1063</v>
      </c>
      <c r="J86" s="6" t="s">
        <v>1157</v>
      </c>
      <c r="K86" s="7" t="s">
        <v>1158</v>
      </c>
    </row>
    <row r="87" spans="1:11">
      <c r="A87" s="5">
        <v>246</v>
      </c>
      <c r="B87" s="5">
        <v>3</v>
      </c>
      <c r="C87" s="5" t="s">
        <v>1159</v>
      </c>
      <c r="D87" s="5" t="s">
        <v>1160</v>
      </c>
      <c r="E87" s="5" t="s">
        <v>799</v>
      </c>
      <c r="F87" s="5" t="s">
        <v>782</v>
      </c>
      <c r="G87" s="6" t="s">
        <v>1161</v>
      </c>
      <c r="H87" s="5" t="s">
        <v>1132</v>
      </c>
      <c r="I87" s="5" t="s">
        <v>1063</v>
      </c>
      <c r="J87" s="6" t="s">
        <v>1162</v>
      </c>
      <c r="K87" s="7" t="s">
        <v>1163</v>
      </c>
    </row>
    <row r="88" spans="1:11">
      <c r="A88" s="5">
        <v>247</v>
      </c>
      <c r="B88" s="5">
        <v>3</v>
      </c>
      <c r="C88" s="5" t="s">
        <v>1164</v>
      </c>
      <c r="D88" s="5" t="s">
        <v>1165</v>
      </c>
      <c r="E88" s="5" t="s">
        <v>781</v>
      </c>
      <c r="F88" s="5" t="s">
        <v>782</v>
      </c>
      <c r="G88" s="6" t="s">
        <v>1166</v>
      </c>
      <c r="H88" s="5" t="s">
        <v>1167</v>
      </c>
      <c r="I88" s="5" t="s">
        <v>1063</v>
      </c>
      <c r="J88" s="6" t="s">
        <v>1168</v>
      </c>
      <c r="K88" s="7" t="s">
        <v>1169</v>
      </c>
    </row>
    <row r="89" spans="1:11">
      <c r="A89" s="5">
        <v>248</v>
      </c>
      <c r="B89" s="5">
        <v>3</v>
      </c>
      <c r="C89" s="5" t="s">
        <v>1170</v>
      </c>
      <c r="D89" s="5" t="s">
        <v>1171</v>
      </c>
      <c r="E89" s="5" t="s">
        <v>781</v>
      </c>
      <c r="F89" s="5" t="s">
        <v>782</v>
      </c>
      <c r="G89" s="6" t="s">
        <v>1172</v>
      </c>
      <c r="H89" s="5" t="s">
        <v>1167</v>
      </c>
      <c r="I89" s="5" t="s">
        <v>1063</v>
      </c>
      <c r="J89" s="6" t="s">
        <v>1173</v>
      </c>
      <c r="K89" s="7" t="s">
        <v>1174</v>
      </c>
    </row>
    <row r="90" spans="1:11">
      <c r="A90" s="5">
        <v>249</v>
      </c>
      <c r="B90" s="5">
        <v>3</v>
      </c>
      <c r="C90" s="5" t="s">
        <v>1175</v>
      </c>
      <c r="D90" s="5" t="s">
        <v>1176</v>
      </c>
      <c r="E90" s="5" t="s">
        <v>781</v>
      </c>
      <c r="F90" s="5" t="s">
        <v>782</v>
      </c>
      <c r="G90" s="6" t="s">
        <v>1177</v>
      </c>
      <c r="H90" s="5" t="s">
        <v>1167</v>
      </c>
      <c r="I90" s="5" t="s">
        <v>1063</v>
      </c>
      <c r="J90" s="6" t="s">
        <v>1178</v>
      </c>
      <c r="K90" s="7" t="s">
        <v>1179</v>
      </c>
    </row>
    <row r="91" spans="1:11">
      <c r="A91" s="5">
        <v>250</v>
      </c>
      <c r="B91" s="5">
        <v>3</v>
      </c>
      <c r="C91" s="5" t="s">
        <v>1180</v>
      </c>
      <c r="D91" s="5" t="s">
        <v>1181</v>
      </c>
      <c r="E91" s="5" t="s">
        <v>781</v>
      </c>
      <c r="F91" s="5" t="s">
        <v>782</v>
      </c>
      <c r="G91" s="6" t="s">
        <v>1182</v>
      </c>
      <c r="H91" s="5" t="s">
        <v>1167</v>
      </c>
      <c r="I91" s="5" t="s">
        <v>1063</v>
      </c>
      <c r="J91" s="6" t="s">
        <v>1183</v>
      </c>
      <c r="K91" s="7" t="s">
        <v>1184</v>
      </c>
    </row>
    <row r="92" spans="1:11">
      <c r="A92" s="5">
        <v>251</v>
      </c>
      <c r="B92" s="5">
        <v>3</v>
      </c>
      <c r="C92" s="5" t="s">
        <v>1185</v>
      </c>
      <c r="D92" s="5" t="s">
        <v>1186</v>
      </c>
      <c r="E92" s="5" t="s">
        <v>781</v>
      </c>
      <c r="F92" s="5" t="s">
        <v>782</v>
      </c>
      <c r="G92" s="6" t="s">
        <v>1187</v>
      </c>
      <c r="H92" s="5" t="s">
        <v>1167</v>
      </c>
      <c r="I92" s="5" t="s">
        <v>1063</v>
      </c>
      <c r="J92" s="6" t="s">
        <v>1188</v>
      </c>
      <c r="K92" s="7" t="s">
        <v>1189</v>
      </c>
    </row>
    <row r="93" spans="1:11">
      <c r="A93" s="5">
        <v>252</v>
      </c>
      <c r="B93" s="5">
        <v>3</v>
      </c>
      <c r="C93" s="5" t="s">
        <v>1190</v>
      </c>
      <c r="D93" s="5" t="s">
        <v>1191</v>
      </c>
      <c r="E93" s="5" t="s">
        <v>781</v>
      </c>
      <c r="F93" s="5" t="s">
        <v>782</v>
      </c>
      <c r="G93" s="6" t="s">
        <v>1192</v>
      </c>
      <c r="H93" s="5" t="s">
        <v>1167</v>
      </c>
      <c r="I93" s="5" t="s">
        <v>1063</v>
      </c>
      <c r="J93" s="6" t="s">
        <v>1193</v>
      </c>
      <c r="K93" s="7" t="s">
        <v>1194</v>
      </c>
    </row>
    <row r="94" spans="1:11">
      <c r="A94" s="5">
        <v>253</v>
      </c>
      <c r="B94" s="5">
        <v>3</v>
      </c>
      <c r="C94" s="5" t="s">
        <v>1195</v>
      </c>
      <c r="D94" s="5">
        <v>2263</v>
      </c>
      <c r="E94" s="5" t="s">
        <v>781</v>
      </c>
      <c r="F94" s="5" t="s">
        <v>821</v>
      </c>
      <c r="G94" s="6" t="s">
        <v>1196</v>
      </c>
      <c r="H94" s="5" t="s">
        <v>1167</v>
      </c>
      <c r="I94" s="5" t="s">
        <v>1063</v>
      </c>
      <c r="J94" s="6" t="s">
        <v>1178</v>
      </c>
      <c r="K94" s="7" t="s">
        <v>1179</v>
      </c>
    </row>
    <row r="95" spans="1:11">
      <c r="A95" s="5">
        <v>254</v>
      </c>
      <c r="B95" s="5">
        <v>3</v>
      </c>
      <c r="C95" s="5" t="s">
        <v>1197</v>
      </c>
      <c r="D95" s="5">
        <v>2246</v>
      </c>
      <c r="E95" s="5" t="s">
        <v>799</v>
      </c>
      <c r="F95" s="5" t="s">
        <v>782</v>
      </c>
      <c r="G95" s="6" t="s">
        <v>1198</v>
      </c>
      <c r="H95" s="5" t="s">
        <v>1167</v>
      </c>
      <c r="I95" s="5" t="s">
        <v>1063</v>
      </c>
      <c r="J95" s="6" t="s">
        <v>1199</v>
      </c>
      <c r="K95" s="7" t="s">
        <v>1200</v>
      </c>
    </row>
    <row r="96" spans="1:11">
      <c r="A96" s="5">
        <v>255</v>
      </c>
      <c r="B96" s="5">
        <v>3</v>
      </c>
      <c r="C96" s="5" t="s">
        <v>1201</v>
      </c>
      <c r="D96" s="5" t="s">
        <v>1202</v>
      </c>
      <c r="E96" s="5" t="s">
        <v>799</v>
      </c>
      <c r="F96" s="5" t="s">
        <v>782</v>
      </c>
      <c r="G96" s="6" t="s">
        <v>1203</v>
      </c>
      <c r="H96" s="5" t="s">
        <v>1167</v>
      </c>
      <c r="I96" s="5" t="s">
        <v>1063</v>
      </c>
      <c r="J96" s="6" t="s">
        <v>1204</v>
      </c>
      <c r="K96" s="7" t="s">
        <v>1205</v>
      </c>
    </row>
    <row r="97" spans="1:11">
      <c r="A97" s="5">
        <v>256</v>
      </c>
      <c r="B97" s="5">
        <v>3</v>
      </c>
      <c r="C97" s="5" t="s">
        <v>793</v>
      </c>
      <c r="D97" s="5" t="s">
        <v>793</v>
      </c>
      <c r="E97" s="8" t="s">
        <v>793</v>
      </c>
      <c r="F97" s="5" t="s">
        <v>782</v>
      </c>
      <c r="G97" s="6" t="s">
        <v>1206</v>
      </c>
      <c r="H97" s="5" t="s">
        <v>1167</v>
      </c>
      <c r="I97" s="5" t="s">
        <v>1063</v>
      </c>
      <c r="J97" s="6" t="s">
        <v>1207</v>
      </c>
      <c r="K97" s="7" t="s">
        <v>1208</v>
      </c>
    </row>
    <row r="98" spans="1:11">
      <c r="A98" s="5">
        <v>257</v>
      </c>
      <c r="B98" s="5">
        <v>3</v>
      </c>
      <c r="C98" s="5" t="s">
        <v>1209</v>
      </c>
      <c r="D98" s="5" t="s">
        <v>1210</v>
      </c>
      <c r="E98" s="5" t="s">
        <v>781</v>
      </c>
      <c r="F98" s="5" t="s">
        <v>782</v>
      </c>
      <c r="G98" s="6" t="s">
        <v>1211</v>
      </c>
      <c r="H98" s="5" t="s">
        <v>1212</v>
      </c>
      <c r="I98" s="5" t="s">
        <v>1063</v>
      </c>
      <c r="J98" s="6" t="s">
        <v>1213</v>
      </c>
      <c r="K98" s="7" t="s">
        <v>1214</v>
      </c>
    </row>
    <row r="99" spans="1:11">
      <c r="A99" s="5">
        <v>258</v>
      </c>
      <c r="B99" s="5">
        <v>3</v>
      </c>
      <c r="C99" s="5" t="s">
        <v>1215</v>
      </c>
      <c r="D99" s="5" t="s">
        <v>1216</v>
      </c>
      <c r="E99" s="5" t="s">
        <v>781</v>
      </c>
      <c r="F99" s="5" t="s">
        <v>782</v>
      </c>
      <c r="G99" s="6" t="s">
        <v>1217</v>
      </c>
      <c r="H99" s="5" t="s">
        <v>1212</v>
      </c>
      <c r="I99" s="5" t="s">
        <v>1063</v>
      </c>
      <c r="J99" s="6" t="s">
        <v>1218</v>
      </c>
      <c r="K99" s="7" t="s">
        <v>1219</v>
      </c>
    </row>
    <row r="100" spans="1:11">
      <c r="A100" s="5">
        <v>259</v>
      </c>
      <c r="B100" s="5">
        <v>3</v>
      </c>
      <c r="C100" s="5" t="s">
        <v>1220</v>
      </c>
      <c r="D100" s="5" t="s">
        <v>1221</v>
      </c>
      <c r="E100" s="5" t="s">
        <v>781</v>
      </c>
      <c r="F100" s="5" t="s">
        <v>782</v>
      </c>
      <c r="G100" s="6" t="s">
        <v>1222</v>
      </c>
      <c r="H100" s="5" t="s">
        <v>1212</v>
      </c>
      <c r="I100" s="5" t="s">
        <v>1063</v>
      </c>
      <c r="J100" s="6" t="s">
        <v>1223</v>
      </c>
      <c r="K100" s="7" t="s">
        <v>1224</v>
      </c>
    </row>
    <row r="101" spans="1:11">
      <c r="A101" s="5">
        <v>260</v>
      </c>
      <c r="B101" s="5">
        <v>3</v>
      </c>
      <c r="C101" s="5" t="s">
        <v>1225</v>
      </c>
      <c r="D101" s="5" t="s">
        <v>1226</v>
      </c>
      <c r="E101" s="5" t="s">
        <v>781</v>
      </c>
      <c r="F101" s="5" t="s">
        <v>782</v>
      </c>
      <c r="G101" s="6" t="s">
        <v>1227</v>
      </c>
      <c r="H101" s="5" t="s">
        <v>1212</v>
      </c>
      <c r="I101" s="5" t="s">
        <v>1063</v>
      </c>
      <c r="J101" s="6" t="s">
        <v>1228</v>
      </c>
      <c r="K101" s="7" t="s">
        <v>1229</v>
      </c>
    </row>
    <row r="102" spans="1:11">
      <c r="A102" s="5">
        <v>261</v>
      </c>
      <c r="B102" s="5">
        <v>3</v>
      </c>
      <c r="C102" s="5" t="s">
        <v>1230</v>
      </c>
      <c r="D102" s="5" t="s">
        <v>1231</v>
      </c>
      <c r="E102" s="5" t="s">
        <v>781</v>
      </c>
      <c r="F102" s="5" t="s">
        <v>782</v>
      </c>
      <c r="G102" s="6" t="s">
        <v>1232</v>
      </c>
      <c r="H102" s="5" t="s">
        <v>1212</v>
      </c>
      <c r="I102" s="5" t="s">
        <v>1063</v>
      </c>
      <c r="J102" s="6" t="s">
        <v>1233</v>
      </c>
      <c r="K102" s="7" t="s">
        <v>1234</v>
      </c>
    </row>
    <row r="103" spans="1:11">
      <c r="A103" s="5">
        <v>262</v>
      </c>
      <c r="B103" s="5">
        <v>3</v>
      </c>
      <c r="C103" s="5" t="s">
        <v>1235</v>
      </c>
      <c r="D103" s="5">
        <v>2271</v>
      </c>
      <c r="E103" s="5" t="s">
        <v>781</v>
      </c>
      <c r="F103" s="5" t="s">
        <v>782</v>
      </c>
      <c r="G103" s="6" t="s">
        <v>1236</v>
      </c>
      <c r="H103" s="5" t="s">
        <v>1212</v>
      </c>
      <c r="I103" s="5" t="s">
        <v>1063</v>
      </c>
      <c r="J103" s="6" t="s">
        <v>1237</v>
      </c>
      <c r="K103" s="7" t="s">
        <v>1238</v>
      </c>
    </row>
    <row r="104" spans="1:11">
      <c r="A104" s="5">
        <v>263</v>
      </c>
      <c r="B104" s="5">
        <v>3</v>
      </c>
      <c r="C104" s="5" t="s">
        <v>1239</v>
      </c>
      <c r="D104" s="5" t="s">
        <v>1240</v>
      </c>
      <c r="E104" s="5" t="s">
        <v>781</v>
      </c>
      <c r="F104" s="5" t="s">
        <v>782</v>
      </c>
      <c r="G104" s="6" t="s">
        <v>1241</v>
      </c>
      <c r="H104" s="5" t="s">
        <v>1212</v>
      </c>
      <c r="I104" s="5" t="s">
        <v>1063</v>
      </c>
      <c r="J104" s="6" t="s">
        <v>1242</v>
      </c>
      <c r="K104" s="7" t="s">
        <v>1243</v>
      </c>
    </row>
    <row r="105" spans="1:11">
      <c r="A105" s="5">
        <v>264</v>
      </c>
      <c r="B105" s="5">
        <v>3</v>
      </c>
      <c r="C105" s="5" t="s">
        <v>1244</v>
      </c>
      <c r="D105" s="5">
        <v>2290</v>
      </c>
      <c r="E105" s="5" t="s">
        <v>781</v>
      </c>
      <c r="F105" s="5" t="s">
        <v>782</v>
      </c>
      <c r="G105" s="6" t="s">
        <v>1245</v>
      </c>
      <c r="H105" s="5" t="s">
        <v>1212</v>
      </c>
      <c r="I105" s="5" t="s">
        <v>1063</v>
      </c>
      <c r="J105" s="6" t="s">
        <v>1246</v>
      </c>
      <c r="K105" s="7" t="s">
        <v>1247</v>
      </c>
    </row>
    <row r="106" spans="1:11">
      <c r="A106" s="5">
        <v>265</v>
      </c>
      <c r="B106" s="5">
        <v>3</v>
      </c>
      <c r="C106" s="5" t="s">
        <v>1248</v>
      </c>
      <c r="D106" s="5">
        <v>2296</v>
      </c>
      <c r="E106" s="5" t="s">
        <v>781</v>
      </c>
      <c r="F106" s="5" t="s">
        <v>782</v>
      </c>
      <c r="G106" s="6" t="s">
        <v>1249</v>
      </c>
      <c r="H106" s="5" t="s">
        <v>1212</v>
      </c>
      <c r="I106" s="5" t="s">
        <v>1063</v>
      </c>
      <c r="J106" s="6" t="s">
        <v>1250</v>
      </c>
      <c r="K106" s="7" t="s">
        <v>1251</v>
      </c>
    </row>
    <row r="107" spans="1:11">
      <c r="A107" s="5">
        <v>266</v>
      </c>
      <c r="B107" s="5">
        <v>3</v>
      </c>
      <c r="C107" s="5" t="s">
        <v>1252</v>
      </c>
      <c r="D107" s="5" t="s">
        <v>1253</v>
      </c>
      <c r="E107" s="5" t="s">
        <v>781</v>
      </c>
      <c r="F107" s="5" t="s">
        <v>782</v>
      </c>
      <c r="G107" s="6" t="s">
        <v>1254</v>
      </c>
      <c r="H107" s="5" t="s">
        <v>1212</v>
      </c>
      <c r="I107" s="5" t="s">
        <v>1063</v>
      </c>
      <c r="J107" s="6" t="s">
        <v>1255</v>
      </c>
      <c r="K107" s="7" t="s">
        <v>1256</v>
      </c>
    </row>
    <row r="108" spans="1:11">
      <c r="A108" s="5">
        <v>267</v>
      </c>
      <c r="B108" s="5">
        <v>3</v>
      </c>
      <c r="C108" s="5" t="s">
        <v>1257</v>
      </c>
      <c r="D108" s="5" t="s">
        <v>1258</v>
      </c>
      <c r="E108" s="5" t="s">
        <v>781</v>
      </c>
      <c r="F108" s="5" t="s">
        <v>782</v>
      </c>
      <c r="G108" s="6" t="s">
        <v>1259</v>
      </c>
      <c r="H108" s="5" t="s">
        <v>1212</v>
      </c>
      <c r="I108" s="5" t="s">
        <v>1063</v>
      </c>
      <c r="J108" s="6" t="s">
        <v>1260</v>
      </c>
      <c r="K108" s="7" t="s">
        <v>1261</v>
      </c>
    </row>
    <row r="109" spans="1:11">
      <c r="A109" s="5">
        <v>268</v>
      </c>
      <c r="B109" s="5">
        <v>3</v>
      </c>
      <c r="C109" s="5" t="s">
        <v>1262</v>
      </c>
      <c r="D109" s="5">
        <v>2262</v>
      </c>
      <c r="E109" s="5" t="s">
        <v>781</v>
      </c>
      <c r="F109" s="5" t="s">
        <v>821</v>
      </c>
      <c r="G109" s="6" t="s">
        <v>1263</v>
      </c>
      <c r="H109" s="5" t="s">
        <v>1212</v>
      </c>
      <c r="I109" s="5" t="s">
        <v>1063</v>
      </c>
      <c r="J109" s="6" t="s">
        <v>1242</v>
      </c>
      <c r="K109" s="7" t="s">
        <v>1243</v>
      </c>
    </row>
    <row r="110" spans="1:11">
      <c r="A110" s="5">
        <v>269</v>
      </c>
      <c r="B110" s="5">
        <v>3</v>
      </c>
      <c r="C110" s="5" t="s">
        <v>1264</v>
      </c>
      <c r="D110" s="5" t="s">
        <v>1265</v>
      </c>
      <c r="E110" s="5" t="s">
        <v>781</v>
      </c>
      <c r="F110" s="5" t="s">
        <v>821</v>
      </c>
      <c r="G110" s="6" t="s">
        <v>1266</v>
      </c>
      <c r="H110" s="5" t="s">
        <v>1212</v>
      </c>
      <c r="I110" s="5" t="s">
        <v>1063</v>
      </c>
      <c r="J110" s="6" t="s">
        <v>1237</v>
      </c>
      <c r="K110" s="7" t="s">
        <v>1238</v>
      </c>
    </row>
    <row r="111" spans="1:11">
      <c r="A111" s="5">
        <v>270</v>
      </c>
      <c r="B111" s="5">
        <v>3</v>
      </c>
      <c r="C111" s="5" t="s">
        <v>1267</v>
      </c>
      <c r="D111" s="5" t="s">
        <v>1268</v>
      </c>
      <c r="E111" s="5" t="s">
        <v>799</v>
      </c>
      <c r="F111" s="5" t="s">
        <v>782</v>
      </c>
      <c r="G111" s="6" t="s">
        <v>1269</v>
      </c>
      <c r="H111" s="5" t="s">
        <v>1212</v>
      </c>
      <c r="I111" s="5" t="s">
        <v>1063</v>
      </c>
      <c r="J111" s="6" t="s">
        <v>1270</v>
      </c>
      <c r="K111" s="7" t="s">
        <v>1271</v>
      </c>
    </row>
    <row r="112" spans="1:11">
      <c r="A112" s="5">
        <v>271</v>
      </c>
      <c r="B112" s="5">
        <v>3</v>
      </c>
      <c r="C112" s="5" t="s">
        <v>1272</v>
      </c>
      <c r="D112" s="5" t="s">
        <v>1273</v>
      </c>
      <c r="E112" s="5" t="s">
        <v>799</v>
      </c>
      <c r="F112" s="5" t="s">
        <v>782</v>
      </c>
      <c r="G112" s="6" t="s">
        <v>1274</v>
      </c>
      <c r="H112" s="5" t="s">
        <v>1212</v>
      </c>
      <c r="I112" s="5" t="s">
        <v>1063</v>
      </c>
      <c r="J112" s="6" t="s">
        <v>1275</v>
      </c>
      <c r="K112" s="7" t="s">
        <v>1276</v>
      </c>
    </row>
    <row r="113" spans="1:11">
      <c r="A113" s="5">
        <v>272</v>
      </c>
      <c r="B113" s="5">
        <v>3</v>
      </c>
      <c r="C113" s="5" t="s">
        <v>1277</v>
      </c>
      <c r="D113" s="5" t="s">
        <v>1278</v>
      </c>
      <c r="E113" s="5" t="s">
        <v>799</v>
      </c>
      <c r="F113" s="5" t="s">
        <v>782</v>
      </c>
      <c r="G113" s="6" t="s">
        <v>1279</v>
      </c>
      <c r="H113" s="5" t="s">
        <v>1212</v>
      </c>
      <c r="I113" s="5" t="s">
        <v>1063</v>
      </c>
      <c r="J113" s="6" t="s">
        <v>1280</v>
      </c>
      <c r="K113" s="7" t="s">
        <v>1281</v>
      </c>
    </row>
    <row r="114" spans="1:11">
      <c r="A114" s="5">
        <v>273</v>
      </c>
      <c r="B114" s="5">
        <v>3</v>
      </c>
      <c r="C114" s="5" t="s">
        <v>1282</v>
      </c>
      <c r="D114" s="5" t="s">
        <v>1283</v>
      </c>
      <c r="E114" s="5" t="s">
        <v>781</v>
      </c>
      <c r="F114" s="5" t="s">
        <v>782</v>
      </c>
      <c r="G114" s="6" t="s">
        <v>1284</v>
      </c>
      <c r="H114" s="5" t="s">
        <v>1212</v>
      </c>
      <c r="I114" s="5" t="s">
        <v>1063</v>
      </c>
      <c r="J114" s="6" t="s">
        <v>1285</v>
      </c>
      <c r="K114" s="7" t="s">
        <v>1286</v>
      </c>
    </row>
    <row r="115" spans="1:11">
      <c r="A115" s="5">
        <v>274</v>
      </c>
      <c r="B115" s="5">
        <v>3</v>
      </c>
      <c r="C115" s="5" t="s">
        <v>1287</v>
      </c>
      <c r="D115" s="5" t="s">
        <v>1288</v>
      </c>
      <c r="E115" s="5" t="s">
        <v>799</v>
      </c>
      <c r="F115" s="5" t="s">
        <v>782</v>
      </c>
      <c r="G115" s="6" t="s">
        <v>1289</v>
      </c>
      <c r="H115" s="5" t="s">
        <v>1212</v>
      </c>
      <c r="I115" s="5" t="s">
        <v>1063</v>
      </c>
      <c r="J115" s="6" t="s">
        <v>1290</v>
      </c>
      <c r="K115" s="7" t="s">
        <v>1291</v>
      </c>
    </row>
    <row r="116" spans="1:11">
      <c r="A116" s="5">
        <v>275</v>
      </c>
      <c r="B116" s="5">
        <v>3</v>
      </c>
      <c r="C116" s="5" t="s">
        <v>1292</v>
      </c>
      <c r="D116" s="5" t="s">
        <v>1293</v>
      </c>
      <c r="E116" s="5" t="s">
        <v>799</v>
      </c>
      <c r="F116" s="5" t="s">
        <v>782</v>
      </c>
      <c r="G116" s="6" t="s">
        <v>1294</v>
      </c>
      <c r="H116" s="5" t="s">
        <v>1212</v>
      </c>
      <c r="I116" s="5" t="s">
        <v>1063</v>
      </c>
      <c r="J116" s="6" t="s">
        <v>1295</v>
      </c>
      <c r="K116" s="7" t="s">
        <v>1296</v>
      </c>
    </row>
    <row r="117" spans="1:11">
      <c r="A117" s="5">
        <v>276</v>
      </c>
      <c r="B117" s="5">
        <v>3</v>
      </c>
      <c r="C117" s="5" t="s">
        <v>1297</v>
      </c>
      <c r="D117" s="5" t="s">
        <v>1298</v>
      </c>
      <c r="E117" s="5" t="s">
        <v>799</v>
      </c>
      <c r="F117" s="5" t="s">
        <v>782</v>
      </c>
      <c r="G117" s="6" t="s">
        <v>1299</v>
      </c>
      <c r="H117" s="5" t="s">
        <v>1212</v>
      </c>
      <c r="I117" s="5" t="s">
        <v>1063</v>
      </c>
      <c r="J117" s="6" t="s">
        <v>1300</v>
      </c>
      <c r="K117" s="7" t="s">
        <v>1301</v>
      </c>
    </row>
    <row r="118" spans="1:11">
      <c r="A118" s="5">
        <v>277</v>
      </c>
      <c r="B118" s="5">
        <v>3</v>
      </c>
      <c r="C118" s="5" t="s">
        <v>15</v>
      </c>
      <c r="D118" s="5" t="s">
        <v>1302</v>
      </c>
      <c r="E118" s="5" t="s">
        <v>781</v>
      </c>
      <c r="F118" s="5" t="s">
        <v>782</v>
      </c>
      <c r="G118" s="6" t="s">
        <v>1303</v>
      </c>
      <c r="H118" s="5" t="s">
        <v>1304</v>
      </c>
      <c r="I118" s="5" t="s">
        <v>1063</v>
      </c>
      <c r="J118" s="6" t="s">
        <v>1305</v>
      </c>
      <c r="K118" s="7" t="s">
        <v>1306</v>
      </c>
    </row>
    <row r="119" spans="1:11">
      <c r="A119" s="5">
        <v>278</v>
      </c>
      <c r="B119" s="5">
        <v>3</v>
      </c>
      <c r="C119" s="5" t="s">
        <v>18</v>
      </c>
      <c r="D119" s="5" t="s">
        <v>1307</v>
      </c>
      <c r="E119" s="5" t="s">
        <v>781</v>
      </c>
      <c r="F119" s="5" t="s">
        <v>782</v>
      </c>
      <c r="G119" s="6" t="s">
        <v>1308</v>
      </c>
      <c r="H119" s="5" t="s">
        <v>1304</v>
      </c>
      <c r="I119" s="5" t="s">
        <v>1063</v>
      </c>
      <c r="J119" s="6" t="s">
        <v>1309</v>
      </c>
      <c r="K119" s="7" t="s">
        <v>1310</v>
      </c>
    </row>
    <row r="120" spans="1:11">
      <c r="A120" s="5">
        <v>279</v>
      </c>
      <c r="B120" s="5">
        <v>3</v>
      </c>
      <c r="C120" s="5" t="s">
        <v>1311</v>
      </c>
      <c r="D120" s="5" t="s">
        <v>1312</v>
      </c>
      <c r="E120" s="5" t="s">
        <v>781</v>
      </c>
      <c r="F120" s="5" t="s">
        <v>782</v>
      </c>
      <c r="G120" s="6" t="s">
        <v>1313</v>
      </c>
      <c r="H120" s="5" t="s">
        <v>1314</v>
      </c>
      <c r="I120" s="5" t="s">
        <v>1063</v>
      </c>
      <c r="J120" s="6" t="s">
        <v>1315</v>
      </c>
      <c r="K120" s="7" t="s">
        <v>1316</v>
      </c>
    </row>
    <row r="121" spans="1:11">
      <c r="A121" s="5">
        <v>280</v>
      </c>
      <c r="B121" s="5">
        <v>3</v>
      </c>
      <c r="C121" s="5" t="s">
        <v>1317</v>
      </c>
      <c r="D121" s="5">
        <v>2277</v>
      </c>
      <c r="E121" s="5" t="s">
        <v>781</v>
      </c>
      <c r="F121" s="5" t="s">
        <v>782</v>
      </c>
      <c r="G121" s="6" t="s">
        <v>1318</v>
      </c>
      <c r="H121" s="5" t="s">
        <v>1314</v>
      </c>
      <c r="I121" s="5" t="s">
        <v>1063</v>
      </c>
      <c r="J121" s="6" t="s">
        <v>1319</v>
      </c>
      <c r="K121" s="7" t="s">
        <v>1320</v>
      </c>
    </row>
    <row r="122" spans="1:11">
      <c r="A122" s="5">
        <v>281</v>
      </c>
      <c r="B122" s="5">
        <v>3</v>
      </c>
      <c r="C122" s="5" t="s">
        <v>1321</v>
      </c>
      <c r="D122" s="5" t="s">
        <v>1322</v>
      </c>
      <c r="E122" s="5" t="s">
        <v>781</v>
      </c>
      <c r="F122" s="5" t="s">
        <v>782</v>
      </c>
      <c r="G122" s="6" t="s">
        <v>1323</v>
      </c>
      <c r="H122" s="5" t="s">
        <v>1314</v>
      </c>
      <c r="I122" s="5" t="s">
        <v>1063</v>
      </c>
      <c r="J122" s="6" t="s">
        <v>1324</v>
      </c>
      <c r="K122" s="7" t="s">
        <v>1325</v>
      </c>
    </row>
    <row r="123" spans="1:11">
      <c r="A123" s="5">
        <v>282</v>
      </c>
      <c r="B123" s="5">
        <v>3</v>
      </c>
      <c r="C123" s="5" t="s">
        <v>1326</v>
      </c>
      <c r="D123" s="5" t="s">
        <v>1327</v>
      </c>
      <c r="E123" s="5" t="s">
        <v>781</v>
      </c>
      <c r="F123" s="5" t="s">
        <v>821</v>
      </c>
      <c r="G123" s="6" t="s">
        <v>1328</v>
      </c>
      <c r="H123" s="5" t="s">
        <v>1314</v>
      </c>
      <c r="I123" s="5" t="s">
        <v>1063</v>
      </c>
      <c r="J123" s="6" t="s">
        <v>1319</v>
      </c>
      <c r="K123" s="7" t="s">
        <v>1320</v>
      </c>
    </row>
    <row r="124" spans="1:11">
      <c r="A124" s="5">
        <v>283</v>
      </c>
      <c r="B124" s="5">
        <v>3</v>
      </c>
      <c r="C124" s="5" t="s">
        <v>1329</v>
      </c>
      <c r="D124" s="5" t="s">
        <v>1330</v>
      </c>
      <c r="E124" s="5" t="s">
        <v>799</v>
      </c>
      <c r="F124" s="5" t="s">
        <v>782</v>
      </c>
      <c r="G124" s="6" t="s">
        <v>1331</v>
      </c>
      <c r="H124" s="5" t="s">
        <v>1314</v>
      </c>
      <c r="I124" s="5" t="s">
        <v>1063</v>
      </c>
      <c r="J124" s="6" t="s">
        <v>1332</v>
      </c>
      <c r="K124" s="7" t="s">
        <v>1333</v>
      </c>
    </row>
    <row r="125" spans="1:11">
      <c r="A125" s="5">
        <v>284</v>
      </c>
      <c r="B125" s="5">
        <v>3</v>
      </c>
      <c r="C125" s="5" t="s">
        <v>1334</v>
      </c>
      <c r="D125" s="5" t="s">
        <v>1335</v>
      </c>
      <c r="E125" s="5" t="s">
        <v>799</v>
      </c>
      <c r="F125" s="5" t="s">
        <v>782</v>
      </c>
      <c r="G125" s="6" t="s">
        <v>1336</v>
      </c>
      <c r="H125" s="5" t="s">
        <v>1314</v>
      </c>
      <c r="I125" s="5" t="s">
        <v>1063</v>
      </c>
      <c r="J125" s="6" t="s">
        <v>1337</v>
      </c>
      <c r="K125" s="7" t="s">
        <v>1338</v>
      </c>
    </row>
    <row r="126" spans="1:11">
      <c r="A126" s="5">
        <v>285</v>
      </c>
      <c r="B126" s="5">
        <v>3</v>
      </c>
      <c r="C126" s="5" t="s">
        <v>1339</v>
      </c>
      <c r="D126" s="5" t="s">
        <v>1340</v>
      </c>
      <c r="E126" s="5" t="s">
        <v>781</v>
      </c>
      <c r="F126" s="5" t="s">
        <v>782</v>
      </c>
      <c r="G126" s="6" t="s">
        <v>1341</v>
      </c>
      <c r="H126" s="5" t="s">
        <v>1342</v>
      </c>
      <c r="I126" s="5" t="s">
        <v>1063</v>
      </c>
      <c r="J126" s="6" t="s">
        <v>1343</v>
      </c>
      <c r="K126" s="7" t="s">
        <v>1344</v>
      </c>
    </row>
    <row r="127" spans="1:11">
      <c r="A127" s="5">
        <v>286</v>
      </c>
      <c r="B127" s="5">
        <v>3</v>
      </c>
      <c r="C127" s="5" t="s">
        <v>1345</v>
      </c>
      <c r="D127" s="5" t="s">
        <v>1346</v>
      </c>
      <c r="E127" s="5" t="s">
        <v>781</v>
      </c>
      <c r="F127" s="5" t="s">
        <v>782</v>
      </c>
      <c r="G127" s="6" t="s">
        <v>1347</v>
      </c>
      <c r="H127" s="5" t="s">
        <v>1342</v>
      </c>
      <c r="I127" s="5" t="s">
        <v>1063</v>
      </c>
      <c r="J127" s="6" t="s">
        <v>1348</v>
      </c>
      <c r="K127" s="7" t="s">
        <v>1349</v>
      </c>
    </row>
    <row r="128" spans="1:11">
      <c r="A128" s="5">
        <v>287</v>
      </c>
      <c r="B128" s="5">
        <v>3</v>
      </c>
      <c r="C128" s="5" t="s">
        <v>1350</v>
      </c>
      <c r="D128" s="5" t="s">
        <v>1351</v>
      </c>
      <c r="E128" s="5" t="s">
        <v>781</v>
      </c>
      <c r="F128" s="5" t="s">
        <v>782</v>
      </c>
      <c r="G128" s="6" t="s">
        <v>1352</v>
      </c>
      <c r="H128" s="5" t="s">
        <v>1342</v>
      </c>
      <c r="I128" s="5" t="s">
        <v>1063</v>
      </c>
      <c r="J128" s="6" t="s">
        <v>1353</v>
      </c>
      <c r="K128" s="7" t="s">
        <v>1354</v>
      </c>
    </row>
    <row r="129" spans="1:11">
      <c r="A129" s="5">
        <v>288</v>
      </c>
      <c r="B129" s="5">
        <v>3</v>
      </c>
      <c r="C129" s="5" t="s">
        <v>1355</v>
      </c>
      <c r="D129" s="5">
        <v>2291</v>
      </c>
      <c r="E129" s="5" t="s">
        <v>781</v>
      </c>
      <c r="F129" s="5" t="s">
        <v>782</v>
      </c>
      <c r="G129" s="6" t="s">
        <v>1356</v>
      </c>
      <c r="H129" s="5" t="s">
        <v>1342</v>
      </c>
      <c r="I129" s="5" t="s">
        <v>1063</v>
      </c>
      <c r="J129" s="6" t="s">
        <v>1357</v>
      </c>
      <c r="K129" s="7" t="s">
        <v>1358</v>
      </c>
    </row>
    <row r="130" spans="1:11">
      <c r="A130" s="5">
        <v>289</v>
      </c>
      <c r="B130" s="5">
        <v>3</v>
      </c>
      <c r="C130" s="5" t="s">
        <v>1359</v>
      </c>
      <c r="D130" s="5">
        <v>2295</v>
      </c>
      <c r="E130" s="5" t="s">
        <v>781</v>
      </c>
      <c r="F130" s="5" t="s">
        <v>782</v>
      </c>
      <c r="G130" s="6" t="s">
        <v>1360</v>
      </c>
      <c r="H130" s="5" t="s">
        <v>1342</v>
      </c>
      <c r="I130" s="5" t="s">
        <v>1063</v>
      </c>
      <c r="J130" s="6" t="s">
        <v>1361</v>
      </c>
      <c r="K130" s="7" t="s">
        <v>1362</v>
      </c>
    </row>
    <row r="131" spans="1:11">
      <c r="A131" s="5">
        <v>290</v>
      </c>
      <c r="B131" s="5">
        <v>3</v>
      </c>
      <c r="C131" s="5" t="s">
        <v>1363</v>
      </c>
      <c r="D131" s="5" t="s">
        <v>1364</v>
      </c>
      <c r="E131" s="5" t="s">
        <v>799</v>
      </c>
      <c r="F131" s="5" t="s">
        <v>782</v>
      </c>
      <c r="G131" s="6" t="s">
        <v>1365</v>
      </c>
      <c r="H131" s="5" t="s">
        <v>1342</v>
      </c>
      <c r="I131" s="5" t="s">
        <v>1063</v>
      </c>
      <c r="J131" s="6" t="s">
        <v>1366</v>
      </c>
      <c r="K131" s="7" t="s">
        <v>1367</v>
      </c>
    </row>
    <row r="132" spans="1:11">
      <c r="A132" s="5">
        <v>291</v>
      </c>
      <c r="B132" s="5">
        <v>3</v>
      </c>
      <c r="C132" s="5" t="s">
        <v>1368</v>
      </c>
      <c r="D132" s="5" t="s">
        <v>1369</v>
      </c>
      <c r="E132" s="5" t="s">
        <v>799</v>
      </c>
      <c r="F132" s="5" t="s">
        <v>782</v>
      </c>
      <c r="G132" s="6" t="s">
        <v>1370</v>
      </c>
      <c r="H132" s="5" t="s">
        <v>1342</v>
      </c>
      <c r="I132" s="5" t="s">
        <v>1063</v>
      </c>
      <c r="J132" s="6" t="s">
        <v>1371</v>
      </c>
      <c r="K132" s="7" t="s">
        <v>1372</v>
      </c>
    </row>
    <row r="133" spans="1:11">
      <c r="A133" s="5">
        <v>292</v>
      </c>
      <c r="B133" s="5">
        <v>3</v>
      </c>
      <c r="C133" s="5" t="s">
        <v>793</v>
      </c>
      <c r="D133" s="5" t="s">
        <v>793</v>
      </c>
      <c r="E133" s="8" t="s">
        <v>793</v>
      </c>
      <c r="F133" s="5" t="s">
        <v>782</v>
      </c>
      <c r="G133" s="6" t="s">
        <v>1373</v>
      </c>
      <c r="H133" s="5" t="s">
        <v>1342</v>
      </c>
      <c r="I133" s="5" t="s">
        <v>1063</v>
      </c>
      <c r="J133" s="6" t="s">
        <v>1374</v>
      </c>
      <c r="K133" s="7" t="s">
        <v>1375</v>
      </c>
    </row>
    <row r="134" spans="1:11">
      <c r="A134" s="5">
        <v>293</v>
      </c>
      <c r="B134" s="5">
        <v>3</v>
      </c>
      <c r="C134" s="5" t="s">
        <v>1376</v>
      </c>
      <c r="D134" s="5">
        <v>2206</v>
      </c>
      <c r="E134" s="5" t="s">
        <v>781</v>
      </c>
      <c r="F134" s="5" t="s">
        <v>782</v>
      </c>
      <c r="G134" s="6" t="s">
        <v>1377</v>
      </c>
      <c r="H134" s="5" t="s">
        <v>1378</v>
      </c>
      <c r="I134" s="5" t="s">
        <v>1063</v>
      </c>
      <c r="J134" s="6" t="s">
        <v>1379</v>
      </c>
      <c r="K134" s="7" t="s">
        <v>1380</v>
      </c>
    </row>
    <row r="135" spans="1:11">
      <c r="A135" s="5">
        <v>294</v>
      </c>
      <c r="B135" s="5">
        <v>3</v>
      </c>
      <c r="C135" s="5" t="s">
        <v>1381</v>
      </c>
      <c r="D135" s="5" t="s">
        <v>1382</v>
      </c>
      <c r="E135" s="5" t="s">
        <v>781</v>
      </c>
      <c r="F135" s="5" t="s">
        <v>782</v>
      </c>
      <c r="G135" s="6" t="s">
        <v>1383</v>
      </c>
      <c r="H135" s="5" t="s">
        <v>1378</v>
      </c>
      <c r="I135" s="5" t="s">
        <v>1063</v>
      </c>
      <c r="J135" s="6" t="s">
        <v>1384</v>
      </c>
      <c r="K135" s="7" t="s">
        <v>1385</v>
      </c>
    </row>
    <row r="136" spans="1:11">
      <c r="A136" s="5">
        <v>295</v>
      </c>
      <c r="B136" s="5">
        <v>3</v>
      </c>
      <c r="C136" s="5" t="s">
        <v>1386</v>
      </c>
      <c r="D136" s="5" t="s">
        <v>1387</v>
      </c>
      <c r="E136" s="5" t="s">
        <v>781</v>
      </c>
      <c r="F136" s="5" t="s">
        <v>782</v>
      </c>
      <c r="G136" s="6" t="s">
        <v>1388</v>
      </c>
      <c r="H136" s="5" t="s">
        <v>1378</v>
      </c>
      <c r="I136" s="5" t="s">
        <v>1063</v>
      </c>
      <c r="J136" s="6" t="s">
        <v>1389</v>
      </c>
      <c r="K136" s="7" t="s">
        <v>1390</v>
      </c>
    </row>
    <row r="137" spans="1:11">
      <c r="A137" s="5">
        <v>296</v>
      </c>
      <c r="B137" s="5">
        <v>3</v>
      </c>
      <c r="C137" s="5" t="s">
        <v>1391</v>
      </c>
      <c r="D137" s="5" t="s">
        <v>1392</v>
      </c>
      <c r="E137" s="5" t="s">
        <v>781</v>
      </c>
      <c r="F137" s="5" t="s">
        <v>782</v>
      </c>
      <c r="G137" s="6" t="s">
        <v>1393</v>
      </c>
      <c r="H137" s="5" t="s">
        <v>1378</v>
      </c>
      <c r="I137" s="5" t="s">
        <v>1063</v>
      </c>
      <c r="J137" s="6" t="s">
        <v>1394</v>
      </c>
      <c r="K137" s="7" t="s">
        <v>1395</v>
      </c>
    </row>
    <row r="138" spans="1:11">
      <c r="A138" s="5">
        <v>297</v>
      </c>
      <c r="B138" s="5">
        <v>3</v>
      </c>
      <c r="C138" s="5" t="s">
        <v>1396</v>
      </c>
      <c r="D138" s="5" t="s">
        <v>1397</v>
      </c>
      <c r="E138" s="5" t="s">
        <v>781</v>
      </c>
      <c r="F138" s="5" t="s">
        <v>782</v>
      </c>
      <c r="G138" s="6" t="s">
        <v>1398</v>
      </c>
      <c r="H138" s="5" t="s">
        <v>1378</v>
      </c>
      <c r="I138" s="5" t="s">
        <v>1063</v>
      </c>
      <c r="J138" s="6" t="s">
        <v>1399</v>
      </c>
      <c r="K138" s="7" t="s">
        <v>1400</v>
      </c>
    </row>
    <row r="139" spans="1:11">
      <c r="A139" s="5">
        <v>298</v>
      </c>
      <c r="B139" s="5">
        <v>3</v>
      </c>
      <c r="C139" s="5" t="s">
        <v>1401</v>
      </c>
      <c r="D139" s="5" t="s">
        <v>1402</v>
      </c>
      <c r="E139" s="5" t="s">
        <v>781</v>
      </c>
      <c r="F139" s="5" t="s">
        <v>821</v>
      </c>
      <c r="G139" s="6" t="s">
        <v>1403</v>
      </c>
      <c r="H139" s="5" t="s">
        <v>1378</v>
      </c>
      <c r="I139" s="5" t="s">
        <v>1063</v>
      </c>
      <c r="J139" s="6" t="s">
        <v>1404</v>
      </c>
      <c r="K139" s="7" t="s">
        <v>1405</v>
      </c>
    </row>
    <row r="140" spans="1:11">
      <c r="A140" s="5">
        <v>299</v>
      </c>
      <c r="B140" s="5">
        <v>3</v>
      </c>
      <c r="C140" s="5" t="s">
        <v>1406</v>
      </c>
      <c r="D140" s="5" t="s">
        <v>1407</v>
      </c>
      <c r="E140" s="5" t="s">
        <v>781</v>
      </c>
      <c r="F140" s="5" t="s">
        <v>782</v>
      </c>
      <c r="G140" s="6" t="s">
        <v>1408</v>
      </c>
      <c r="H140" s="5" t="s">
        <v>1409</v>
      </c>
      <c r="I140" s="5" t="s">
        <v>1063</v>
      </c>
      <c r="J140" s="6" t="s">
        <v>1410</v>
      </c>
      <c r="K140" s="7" t="s">
        <v>1411</v>
      </c>
    </row>
    <row r="141" spans="1:11">
      <c r="A141" s="5">
        <v>300</v>
      </c>
      <c r="B141" s="5">
        <v>3</v>
      </c>
      <c r="C141" s="5" t="s">
        <v>1412</v>
      </c>
      <c r="D141" s="5" t="s">
        <v>1413</v>
      </c>
      <c r="E141" s="5" t="s">
        <v>799</v>
      </c>
      <c r="F141" s="5" t="s">
        <v>782</v>
      </c>
      <c r="G141" s="6" t="s">
        <v>1414</v>
      </c>
      <c r="H141" s="5" t="s">
        <v>1409</v>
      </c>
      <c r="I141" s="5" t="s">
        <v>1063</v>
      </c>
      <c r="J141" s="6" t="s">
        <v>1415</v>
      </c>
      <c r="K141" s="7" t="s">
        <v>1416</v>
      </c>
    </row>
    <row r="142" spans="1:11">
      <c r="A142" s="5">
        <v>301</v>
      </c>
      <c r="B142" s="5">
        <v>3</v>
      </c>
      <c r="C142" s="5" t="s">
        <v>1417</v>
      </c>
      <c r="D142" s="5" t="s">
        <v>1418</v>
      </c>
      <c r="E142" s="5" t="s">
        <v>799</v>
      </c>
      <c r="F142" s="5" t="s">
        <v>782</v>
      </c>
      <c r="G142" s="6" t="s">
        <v>1419</v>
      </c>
      <c r="H142" s="5" t="s">
        <v>1409</v>
      </c>
      <c r="I142" s="5" t="s">
        <v>1063</v>
      </c>
      <c r="J142" s="6" t="s">
        <v>1420</v>
      </c>
      <c r="K142" s="7" t="s">
        <v>1421</v>
      </c>
    </row>
    <row r="143" spans="1:11">
      <c r="A143" s="5">
        <v>302</v>
      </c>
      <c r="B143" s="5">
        <v>3</v>
      </c>
      <c r="C143" s="5" t="s">
        <v>1422</v>
      </c>
      <c r="D143" s="5" t="s">
        <v>1423</v>
      </c>
      <c r="E143" s="5" t="s">
        <v>799</v>
      </c>
      <c r="F143" s="5" t="s">
        <v>782</v>
      </c>
      <c r="G143" s="6" t="s">
        <v>1424</v>
      </c>
      <c r="H143" s="5" t="s">
        <v>1409</v>
      </c>
      <c r="I143" s="5" t="s">
        <v>1063</v>
      </c>
      <c r="J143" s="6" t="s">
        <v>1425</v>
      </c>
      <c r="K143" s="7" t="s">
        <v>1426</v>
      </c>
    </row>
    <row r="144" spans="1:11">
      <c r="A144" s="5">
        <v>303</v>
      </c>
      <c r="B144" s="5">
        <v>3</v>
      </c>
      <c r="C144" s="5" t="s">
        <v>1427</v>
      </c>
      <c r="D144" s="5" t="s">
        <v>1428</v>
      </c>
      <c r="E144" s="5" t="s">
        <v>799</v>
      </c>
      <c r="F144" s="5" t="s">
        <v>782</v>
      </c>
      <c r="G144" s="6" t="s">
        <v>1429</v>
      </c>
      <c r="H144" s="5" t="s">
        <v>1409</v>
      </c>
      <c r="I144" s="5" t="s">
        <v>1063</v>
      </c>
      <c r="J144" s="6" t="s">
        <v>1430</v>
      </c>
      <c r="K144" s="7" t="s">
        <v>1431</v>
      </c>
    </row>
    <row r="145" spans="1:11">
      <c r="A145" s="5">
        <v>304</v>
      </c>
      <c r="B145" s="5">
        <v>3</v>
      </c>
      <c r="C145" s="5" t="s">
        <v>1432</v>
      </c>
      <c r="D145" s="5" t="s">
        <v>1433</v>
      </c>
      <c r="E145" s="5" t="s">
        <v>799</v>
      </c>
      <c r="F145" s="5" t="s">
        <v>821</v>
      </c>
      <c r="G145" s="6" t="s">
        <v>1429</v>
      </c>
      <c r="H145" s="5" t="s">
        <v>1409</v>
      </c>
      <c r="I145" s="5" t="s">
        <v>1063</v>
      </c>
      <c r="J145" s="6" t="s">
        <v>1430</v>
      </c>
      <c r="K145" s="7" t="s">
        <v>1431</v>
      </c>
    </row>
    <row r="146" spans="1:11">
      <c r="A146" s="5">
        <v>305</v>
      </c>
      <c r="B146" s="5">
        <v>3</v>
      </c>
      <c r="C146" s="5" t="s">
        <v>1434</v>
      </c>
      <c r="D146" s="5" t="s">
        <v>1435</v>
      </c>
      <c r="E146" s="5" t="s">
        <v>781</v>
      </c>
      <c r="F146" s="5" t="s">
        <v>782</v>
      </c>
      <c r="G146" s="6" t="s">
        <v>1436</v>
      </c>
      <c r="H146" s="5" t="s">
        <v>1437</v>
      </c>
      <c r="I146" s="5" t="s">
        <v>1063</v>
      </c>
      <c r="J146" s="6" t="s">
        <v>1438</v>
      </c>
      <c r="K146" s="7" t="s">
        <v>1439</v>
      </c>
    </row>
    <row r="147" spans="1:11">
      <c r="A147" s="5">
        <v>306</v>
      </c>
      <c r="B147" s="5">
        <v>3</v>
      </c>
      <c r="C147" s="5" t="s">
        <v>1440</v>
      </c>
      <c r="D147" s="5" t="s">
        <v>1441</v>
      </c>
      <c r="E147" s="5" t="s">
        <v>781</v>
      </c>
      <c r="F147" s="5" t="s">
        <v>782</v>
      </c>
      <c r="G147" s="6" t="s">
        <v>1442</v>
      </c>
      <c r="H147" s="5" t="s">
        <v>1437</v>
      </c>
      <c r="I147" s="5" t="s">
        <v>1063</v>
      </c>
      <c r="J147" s="6" t="s">
        <v>1443</v>
      </c>
      <c r="K147" s="7" t="s">
        <v>1444</v>
      </c>
    </row>
    <row r="148" spans="1:11">
      <c r="A148" s="5">
        <v>307</v>
      </c>
      <c r="B148" s="5">
        <v>3</v>
      </c>
      <c r="C148" s="5" t="s">
        <v>1445</v>
      </c>
      <c r="D148" s="5">
        <v>2294</v>
      </c>
      <c r="E148" s="5" t="s">
        <v>781</v>
      </c>
      <c r="F148" s="5" t="s">
        <v>782</v>
      </c>
      <c r="G148" s="6" t="s">
        <v>1446</v>
      </c>
      <c r="H148" s="5" t="s">
        <v>1437</v>
      </c>
      <c r="I148" s="5" t="s">
        <v>1063</v>
      </c>
      <c r="J148" s="6" t="s">
        <v>1447</v>
      </c>
      <c r="K148" s="7" t="s">
        <v>1448</v>
      </c>
    </row>
    <row r="149" spans="1:11">
      <c r="A149" s="5">
        <v>308</v>
      </c>
      <c r="B149" s="5">
        <v>3</v>
      </c>
      <c r="C149" s="5" t="s">
        <v>1449</v>
      </c>
      <c r="D149" s="5" t="s">
        <v>1450</v>
      </c>
      <c r="E149" s="5" t="s">
        <v>781</v>
      </c>
      <c r="F149" s="5" t="s">
        <v>782</v>
      </c>
      <c r="G149" s="6" t="s">
        <v>1451</v>
      </c>
      <c r="H149" s="5" t="s">
        <v>1437</v>
      </c>
      <c r="I149" s="5" t="s">
        <v>1063</v>
      </c>
      <c r="J149" s="6" t="s">
        <v>1452</v>
      </c>
      <c r="K149" s="7" t="s">
        <v>1453</v>
      </c>
    </row>
    <row r="150" spans="1:11">
      <c r="A150" s="5">
        <v>309</v>
      </c>
      <c r="B150" s="5">
        <v>3</v>
      </c>
      <c r="C150" s="5" t="s">
        <v>1454</v>
      </c>
      <c r="D150" s="5">
        <v>2285</v>
      </c>
      <c r="E150" s="5" t="s">
        <v>781</v>
      </c>
      <c r="F150" s="5" t="s">
        <v>821</v>
      </c>
      <c r="G150" s="6" t="s">
        <v>1455</v>
      </c>
      <c r="H150" s="5" t="s">
        <v>1437</v>
      </c>
      <c r="I150" s="5" t="s">
        <v>1063</v>
      </c>
      <c r="J150" s="6" t="s">
        <v>1443</v>
      </c>
      <c r="K150" s="7" t="s">
        <v>1444</v>
      </c>
    </row>
    <row r="151" spans="1:11">
      <c r="A151" s="5">
        <v>310</v>
      </c>
      <c r="B151" s="5">
        <v>3</v>
      </c>
      <c r="C151" s="5" t="s">
        <v>1456</v>
      </c>
      <c r="D151" s="5">
        <v>2279</v>
      </c>
      <c r="E151" s="5" t="s">
        <v>799</v>
      </c>
      <c r="F151" s="5" t="s">
        <v>782</v>
      </c>
      <c r="G151" s="6" t="s">
        <v>1457</v>
      </c>
      <c r="H151" s="5" t="s">
        <v>1437</v>
      </c>
      <c r="I151" s="5" t="s">
        <v>1063</v>
      </c>
      <c r="J151" s="6" t="s">
        <v>1458</v>
      </c>
      <c r="K151" s="7" t="s">
        <v>1459</v>
      </c>
    </row>
    <row r="152" spans="1:11">
      <c r="A152" s="5">
        <v>311</v>
      </c>
      <c r="B152" s="5">
        <v>3</v>
      </c>
      <c r="C152" s="5" t="s">
        <v>1460</v>
      </c>
      <c r="D152" s="5" t="s">
        <v>1461</v>
      </c>
      <c r="E152" s="5" t="s">
        <v>799</v>
      </c>
      <c r="F152" s="5" t="s">
        <v>782</v>
      </c>
      <c r="G152" s="6" t="s">
        <v>1462</v>
      </c>
      <c r="H152" s="5" t="s">
        <v>1437</v>
      </c>
      <c r="I152" s="5" t="s">
        <v>1063</v>
      </c>
      <c r="J152" s="6" t="s">
        <v>1463</v>
      </c>
      <c r="K152" s="7" t="s">
        <v>1464</v>
      </c>
    </row>
    <row r="153" spans="1:11">
      <c r="A153" s="5">
        <v>312</v>
      </c>
      <c r="B153" s="5">
        <v>3</v>
      </c>
      <c r="C153" s="5" t="s">
        <v>1465</v>
      </c>
      <c r="D153" s="5" t="s">
        <v>1466</v>
      </c>
      <c r="E153" s="5" t="s">
        <v>799</v>
      </c>
      <c r="F153" s="5" t="s">
        <v>782</v>
      </c>
      <c r="G153" s="6" t="s">
        <v>1467</v>
      </c>
      <c r="H153" s="5" t="s">
        <v>1437</v>
      </c>
      <c r="I153" s="5" t="s">
        <v>1063</v>
      </c>
      <c r="J153" s="6" t="s">
        <v>1468</v>
      </c>
      <c r="K153" s="7" t="s">
        <v>1469</v>
      </c>
    </row>
    <row r="154" spans="1:11">
      <c r="A154" s="5">
        <v>313</v>
      </c>
      <c r="B154" s="5">
        <v>3</v>
      </c>
      <c r="C154" s="5" t="s">
        <v>793</v>
      </c>
      <c r="D154" s="5" t="s">
        <v>793</v>
      </c>
      <c r="E154" s="8" t="s">
        <v>793</v>
      </c>
      <c r="F154" s="5" t="s">
        <v>782</v>
      </c>
      <c r="G154" s="6" t="s">
        <v>1470</v>
      </c>
      <c r="H154" s="5" t="s">
        <v>1437</v>
      </c>
      <c r="I154" s="5" t="s">
        <v>1063</v>
      </c>
      <c r="J154" s="7" t="s">
        <v>1471</v>
      </c>
      <c r="K154" s="7" t="s">
        <v>1472</v>
      </c>
    </row>
    <row r="155" spans="1:11">
      <c r="A155" s="5">
        <v>314</v>
      </c>
      <c r="B155" s="5">
        <v>3</v>
      </c>
      <c r="C155" s="5" t="s">
        <v>1473</v>
      </c>
      <c r="D155" s="5" t="s">
        <v>1474</v>
      </c>
      <c r="E155" s="5" t="s">
        <v>781</v>
      </c>
      <c r="F155" s="5" t="s">
        <v>782</v>
      </c>
      <c r="G155" s="6" t="s">
        <v>1475</v>
      </c>
      <c r="H155" s="5" t="s">
        <v>1476</v>
      </c>
      <c r="I155" s="5" t="s">
        <v>1063</v>
      </c>
      <c r="J155" s="6" t="s">
        <v>1477</v>
      </c>
      <c r="K155" s="7" t="s">
        <v>1478</v>
      </c>
    </row>
    <row r="156" spans="1:11">
      <c r="A156" s="5">
        <v>315</v>
      </c>
      <c r="B156" s="5">
        <v>3</v>
      </c>
      <c r="C156" s="5" t="s">
        <v>1479</v>
      </c>
      <c r="D156" s="5" t="s">
        <v>1480</v>
      </c>
      <c r="E156" s="5" t="s">
        <v>781</v>
      </c>
      <c r="F156" s="5" t="s">
        <v>782</v>
      </c>
      <c r="G156" s="6" t="s">
        <v>1481</v>
      </c>
      <c r="H156" s="5" t="s">
        <v>1476</v>
      </c>
      <c r="I156" s="5" t="s">
        <v>1063</v>
      </c>
      <c r="J156" s="6" t="s">
        <v>1482</v>
      </c>
      <c r="K156" s="7" t="s">
        <v>1483</v>
      </c>
    </row>
    <row r="157" spans="1:11">
      <c r="A157" s="5">
        <v>316</v>
      </c>
      <c r="B157" s="5">
        <v>3</v>
      </c>
      <c r="C157" s="5" t="s">
        <v>1484</v>
      </c>
      <c r="D157" s="5">
        <v>2298</v>
      </c>
      <c r="E157" s="5" t="s">
        <v>799</v>
      </c>
      <c r="F157" s="5" t="s">
        <v>782</v>
      </c>
      <c r="G157" s="6" t="s">
        <v>1485</v>
      </c>
      <c r="H157" s="5" t="s">
        <v>1476</v>
      </c>
      <c r="I157" s="5" t="s">
        <v>1063</v>
      </c>
      <c r="J157" s="6" t="s">
        <v>1486</v>
      </c>
      <c r="K157" s="7" t="s">
        <v>1487</v>
      </c>
    </row>
    <row r="158" spans="1:11">
      <c r="A158" s="5">
        <v>317</v>
      </c>
      <c r="B158" s="5">
        <v>3</v>
      </c>
      <c r="C158" s="5"/>
      <c r="D158" s="5"/>
      <c r="E158" s="5"/>
      <c r="F158" s="5" t="s">
        <v>782</v>
      </c>
      <c r="G158" s="6" t="s">
        <v>1488</v>
      </c>
      <c r="H158" s="5" t="s">
        <v>1476</v>
      </c>
      <c r="I158" s="5" t="s">
        <v>1063</v>
      </c>
      <c r="J158" s="6" t="s">
        <v>1489</v>
      </c>
      <c r="K158" s="26" t="s">
        <v>1490</v>
      </c>
    </row>
    <row r="159" spans="1:11">
      <c r="A159" s="5">
        <v>318</v>
      </c>
      <c r="B159" s="5">
        <v>3</v>
      </c>
      <c r="C159" s="5" t="s">
        <v>1491</v>
      </c>
      <c r="D159" s="5" t="s">
        <v>1492</v>
      </c>
      <c r="E159" s="5" t="s">
        <v>781</v>
      </c>
      <c r="F159" s="5" t="s">
        <v>782</v>
      </c>
      <c r="G159" s="6" t="s">
        <v>1493</v>
      </c>
      <c r="H159" s="5" t="s">
        <v>1494</v>
      </c>
      <c r="I159" s="5" t="s">
        <v>1063</v>
      </c>
      <c r="J159" s="6" t="s">
        <v>1495</v>
      </c>
      <c r="K159" s="7" t="s">
        <v>1496</v>
      </c>
    </row>
    <row r="160" spans="1:11">
      <c r="A160" s="5">
        <v>319</v>
      </c>
      <c r="B160" s="5">
        <v>3</v>
      </c>
      <c r="C160" s="5" t="s">
        <v>1497</v>
      </c>
      <c r="D160" s="5" t="s">
        <v>1498</v>
      </c>
      <c r="E160" s="5" t="s">
        <v>781</v>
      </c>
      <c r="F160" s="5" t="s">
        <v>782</v>
      </c>
      <c r="G160" s="6" t="s">
        <v>1499</v>
      </c>
      <c r="H160" s="5" t="s">
        <v>1494</v>
      </c>
      <c r="I160" s="5" t="s">
        <v>1063</v>
      </c>
      <c r="J160" s="6" t="s">
        <v>1500</v>
      </c>
      <c r="K160" s="7" t="s">
        <v>1501</v>
      </c>
    </row>
    <row r="161" spans="1:11">
      <c r="A161" s="5">
        <v>320</v>
      </c>
      <c r="B161" s="5">
        <v>3</v>
      </c>
      <c r="C161" s="5" t="s">
        <v>1502</v>
      </c>
      <c r="D161" s="5" t="s">
        <v>1503</v>
      </c>
      <c r="E161" s="5" t="s">
        <v>781</v>
      </c>
      <c r="F161" s="5" t="s">
        <v>782</v>
      </c>
      <c r="G161" s="6" t="s">
        <v>1504</v>
      </c>
      <c r="H161" s="5" t="s">
        <v>1494</v>
      </c>
      <c r="I161" s="5" t="s">
        <v>1063</v>
      </c>
      <c r="J161" s="6" t="s">
        <v>1505</v>
      </c>
      <c r="K161" s="7" t="s">
        <v>1506</v>
      </c>
    </row>
    <row r="162" spans="1:11">
      <c r="A162" s="5">
        <v>321</v>
      </c>
      <c r="B162" s="5">
        <v>3</v>
      </c>
      <c r="C162" s="5" t="s">
        <v>793</v>
      </c>
      <c r="D162" s="5" t="s">
        <v>793</v>
      </c>
      <c r="E162" s="8" t="s">
        <v>793</v>
      </c>
      <c r="F162" s="5" t="s">
        <v>782</v>
      </c>
      <c r="G162" s="6" t="s">
        <v>1507</v>
      </c>
      <c r="H162" s="5" t="s">
        <v>1494</v>
      </c>
      <c r="I162" s="5" t="s">
        <v>1063</v>
      </c>
      <c r="J162" s="6" t="s">
        <v>1508</v>
      </c>
      <c r="K162" s="26" t="s">
        <v>1509</v>
      </c>
    </row>
    <row r="163" spans="1:11">
      <c r="A163" s="5">
        <v>322</v>
      </c>
      <c r="B163" s="5">
        <v>3</v>
      </c>
      <c r="C163" s="5" t="s">
        <v>1510</v>
      </c>
      <c r="D163" s="5" t="s">
        <v>1511</v>
      </c>
      <c r="E163" s="5" t="s">
        <v>799</v>
      </c>
      <c r="F163" s="5" t="s">
        <v>821</v>
      </c>
      <c r="G163" s="6" t="s">
        <v>1512</v>
      </c>
      <c r="H163" s="5" t="s">
        <v>1494</v>
      </c>
      <c r="I163" s="5" t="s">
        <v>1063</v>
      </c>
      <c r="J163" s="6" t="s">
        <v>1513</v>
      </c>
      <c r="K163" s="7" t="s">
        <v>1514</v>
      </c>
    </row>
    <row r="164" spans="1:11">
      <c r="A164" s="5">
        <v>323</v>
      </c>
      <c r="B164" s="5">
        <v>3</v>
      </c>
      <c r="C164" s="5" t="s">
        <v>793</v>
      </c>
      <c r="D164" s="5" t="s">
        <v>793</v>
      </c>
      <c r="E164" s="8" t="s">
        <v>793</v>
      </c>
      <c r="F164" s="5" t="s">
        <v>782</v>
      </c>
      <c r="G164" s="6" t="s">
        <v>1515</v>
      </c>
      <c r="H164" s="5" t="s">
        <v>1494</v>
      </c>
      <c r="I164" s="5" t="s">
        <v>1063</v>
      </c>
      <c r="J164" s="6" t="s">
        <v>1516</v>
      </c>
      <c r="K164" s="7" t="s">
        <v>1517</v>
      </c>
    </row>
    <row r="165" spans="1:11">
      <c r="A165" s="5">
        <v>324</v>
      </c>
      <c r="B165" s="5">
        <v>3</v>
      </c>
      <c r="C165" s="5" t="s">
        <v>34</v>
      </c>
      <c r="D165" s="5" t="s">
        <v>1518</v>
      </c>
      <c r="E165" s="5" t="s">
        <v>781</v>
      </c>
      <c r="F165" s="5" t="s">
        <v>782</v>
      </c>
      <c r="G165" s="6" t="s">
        <v>1519</v>
      </c>
      <c r="H165" s="5" t="s">
        <v>1520</v>
      </c>
      <c r="I165" s="5" t="s">
        <v>1063</v>
      </c>
      <c r="J165" s="6" t="s">
        <v>1521</v>
      </c>
      <c r="K165" s="7" t="s">
        <v>1522</v>
      </c>
    </row>
    <row r="166" spans="1:11">
      <c r="A166" s="5">
        <v>325</v>
      </c>
      <c r="B166" s="5">
        <v>3</v>
      </c>
      <c r="C166" s="5" t="s">
        <v>1523</v>
      </c>
      <c r="D166" s="5" t="s">
        <v>1524</v>
      </c>
      <c r="E166" s="5" t="s">
        <v>781</v>
      </c>
      <c r="F166" s="5" t="s">
        <v>782</v>
      </c>
      <c r="G166" s="6" t="s">
        <v>1525</v>
      </c>
      <c r="H166" s="5" t="s">
        <v>1526</v>
      </c>
      <c r="I166" s="5" t="s">
        <v>1063</v>
      </c>
      <c r="J166" s="6" t="s">
        <v>1527</v>
      </c>
      <c r="K166" s="7" t="s">
        <v>1528</v>
      </c>
    </row>
    <row r="167" spans="1:11">
      <c r="A167" s="5">
        <v>326</v>
      </c>
      <c r="B167" s="5">
        <v>3</v>
      </c>
      <c r="C167" s="5" t="s">
        <v>1529</v>
      </c>
      <c r="D167" s="5" t="s">
        <v>1530</v>
      </c>
      <c r="E167" s="5" t="s">
        <v>799</v>
      </c>
      <c r="F167" s="5" t="s">
        <v>782</v>
      </c>
      <c r="G167" s="6" t="s">
        <v>1531</v>
      </c>
      <c r="H167" s="5" t="s">
        <v>1526</v>
      </c>
      <c r="I167" s="5" t="s">
        <v>1063</v>
      </c>
      <c r="J167" s="6" t="s">
        <v>1532</v>
      </c>
      <c r="K167" s="7" t="s">
        <v>1533</v>
      </c>
    </row>
    <row r="168" spans="1:11">
      <c r="A168" s="5">
        <v>327</v>
      </c>
      <c r="B168" s="5">
        <v>3</v>
      </c>
      <c r="C168" s="5" t="s">
        <v>1534</v>
      </c>
      <c r="D168" s="5" t="s">
        <v>1535</v>
      </c>
      <c r="E168" s="5" t="s">
        <v>799</v>
      </c>
      <c r="F168" s="5" t="s">
        <v>782</v>
      </c>
      <c r="G168" s="6" t="s">
        <v>1536</v>
      </c>
      <c r="H168" s="5" t="s">
        <v>1526</v>
      </c>
      <c r="I168" s="5" t="s">
        <v>1063</v>
      </c>
      <c r="J168" s="6" t="s">
        <v>1537</v>
      </c>
      <c r="K168" s="26" t="s">
        <v>1538</v>
      </c>
    </row>
    <row r="169" spans="1:11">
      <c r="A169" s="5">
        <v>328</v>
      </c>
      <c r="B169" s="5">
        <v>3</v>
      </c>
      <c r="C169" s="5" t="s">
        <v>1539</v>
      </c>
      <c r="D169" s="5" t="s">
        <v>1540</v>
      </c>
      <c r="E169" s="5" t="s">
        <v>799</v>
      </c>
      <c r="F169" s="5" t="s">
        <v>782</v>
      </c>
      <c r="G169" s="6" t="s">
        <v>1541</v>
      </c>
      <c r="H169" s="5" t="s">
        <v>1526</v>
      </c>
      <c r="I169" s="5" t="s">
        <v>1063</v>
      </c>
      <c r="J169" s="6" t="s">
        <v>1542</v>
      </c>
      <c r="K169" s="7" t="s">
        <v>1543</v>
      </c>
    </row>
    <row r="170" spans="1:11">
      <c r="A170" s="5">
        <v>329</v>
      </c>
      <c r="B170" s="5">
        <v>3</v>
      </c>
      <c r="C170" s="5" t="s">
        <v>1544</v>
      </c>
      <c r="D170" s="5">
        <v>2247</v>
      </c>
      <c r="E170" s="5" t="s">
        <v>781</v>
      </c>
      <c r="F170" s="5" t="s">
        <v>782</v>
      </c>
      <c r="G170" s="6" t="s">
        <v>1545</v>
      </c>
      <c r="H170" s="5" t="s">
        <v>1546</v>
      </c>
      <c r="I170" s="5" t="s">
        <v>1063</v>
      </c>
      <c r="J170" s="6" t="s">
        <v>1547</v>
      </c>
      <c r="K170" s="7" t="s">
        <v>1548</v>
      </c>
    </row>
    <row r="171" spans="1:11">
      <c r="A171" s="5">
        <v>330</v>
      </c>
      <c r="B171" s="5">
        <v>3</v>
      </c>
      <c r="C171" s="5" t="s">
        <v>1549</v>
      </c>
      <c r="D171" s="5">
        <v>2282</v>
      </c>
      <c r="E171" s="5" t="s">
        <v>781</v>
      </c>
      <c r="F171" s="5" t="s">
        <v>782</v>
      </c>
      <c r="G171" s="6" t="s">
        <v>1550</v>
      </c>
      <c r="H171" s="5" t="s">
        <v>1546</v>
      </c>
      <c r="I171" s="5" t="s">
        <v>1063</v>
      </c>
      <c r="J171" s="6" t="s">
        <v>1551</v>
      </c>
      <c r="K171" s="7" t="s">
        <v>1552</v>
      </c>
    </row>
    <row r="172" spans="1:11">
      <c r="A172" s="5">
        <v>331</v>
      </c>
      <c r="B172" s="5">
        <v>3</v>
      </c>
      <c r="C172" s="5" t="s">
        <v>1553</v>
      </c>
      <c r="D172" s="5">
        <v>2286</v>
      </c>
      <c r="E172" s="5" t="s">
        <v>781</v>
      </c>
      <c r="F172" s="5" t="s">
        <v>782</v>
      </c>
      <c r="G172" s="6" t="s">
        <v>1554</v>
      </c>
      <c r="H172" s="5" t="s">
        <v>1546</v>
      </c>
      <c r="I172" s="5" t="s">
        <v>1063</v>
      </c>
      <c r="J172" s="6" t="s">
        <v>1555</v>
      </c>
      <c r="K172" s="7" t="s">
        <v>1556</v>
      </c>
    </row>
    <row r="173" spans="1:11">
      <c r="A173" s="5">
        <v>332</v>
      </c>
      <c r="B173" s="5">
        <v>3</v>
      </c>
      <c r="C173" s="5" t="s">
        <v>1557</v>
      </c>
      <c r="D173" s="5">
        <v>2243</v>
      </c>
      <c r="E173" s="5" t="s">
        <v>799</v>
      </c>
      <c r="F173" s="5" t="s">
        <v>782</v>
      </c>
      <c r="G173" s="6" t="s">
        <v>1558</v>
      </c>
      <c r="H173" s="5" t="s">
        <v>1546</v>
      </c>
      <c r="I173" s="5" t="s">
        <v>1063</v>
      </c>
      <c r="J173" s="6" t="s">
        <v>1559</v>
      </c>
      <c r="K173" s="7" t="s">
        <v>1560</v>
      </c>
    </row>
    <row r="174" spans="1:11">
      <c r="A174" s="5">
        <v>333</v>
      </c>
      <c r="B174" s="5">
        <v>3</v>
      </c>
      <c r="C174" s="5"/>
      <c r="D174" s="5"/>
      <c r="E174" s="5"/>
      <c r="F174" s="5" t="s">
        <v>782</v>
      </c>
      <c r="G174" s="6" t="s">
        <v>1561</v>
      </c>
      <c r="H174" s="5" t="s">
        <v>1546</v>
      </c>
      <c r="I174" s="5" t="s">
        <v>1063</v>
      </c>
      <c r="J174" s="6" t="s">
        <v>1562</v>
      </c>
      <c r="K174" s="26" t="s">
        <v>1563</v>
      </c>
    </row>
    <row r="175" spans="1:11">
      <c r="A175" s="5">
        <v>334</v>
      </c>
      <c r="B175" s="5">
        <v>3</v>
      </c>
      <c r="C175" s="5" t="s">
        <v>1564</v>
      </c>
      <c r="D175" s="5" t="s">
        <v>1565</v>
      </c>
      <c r="E175" s="5" t="s">
        <v>781</v>
      </c>
      <c r="F175" s="5" t="s">
        <v>782</v>
      </c>
      <c r="G175" s="6" t="s">
        <v>1566</v>
      </c>
      <c r="H175" s="5" t="s">
        <v>1546</v>
      </c>
      <c r="I175" s="5" t="s">
        <v>1063</v>
      </c>
      <c r="J175" s="6" t="s">
        <v>1567</v>
      </c>
      <c r="K175" s="7" t="s">
        <v>1568</v>
      </c>
    </row>
    <row r="176" spans="1:11">
      <c r="A176" s="5">
        <v>335</v>
      </c>
      <c r="B176" s="5">
        <v>3</v>
      </c>
      <c r="C176" s="5" t="s">
        <v>1569</v>
      </c>
      <c r="D176" s="5" t="s">
        <v>1570</v>
      </c>
      <c r="E176" s="5" t="s">
        <v>781</v>
      </c>
      <c r="F176" s="5" t="s">
        <v>782</v>
      </c>
      <c r="G176" s="6" t="s">
        <v>1571</v>
      </c>
      <c r="H176" s="5" t="s">
        <v>1572</v>
      </c>
      <c r="I176" s="5" t="s">
        <v>1063</v>
      </c>
      <c r="J176" s="6" t="s">
        <v>1573</v>
      </c>
      <c r="K176" s="7" t="s">
        <v>1574</v>
      </c>
    </row>
    <row r="177" spans="1:11">
      <c r="A177" s="5">
        <v>336</v>
      </c>
      <c r="B177" s="5">
        <v>3</v>
      </c>
      <c r="C177" s="5" t="s">
        <v>1575</v>
      </c>
      <c r="D177" s="5" t="s">
        <v>1576</v>
      </c>
      <c r="E177" s="5" t="s">
        <v>781</v>
      </c>
      <c r="F177" s="5" t="s">
        <v>782</v>
      </c>
      <c r="G177" s="6" t="s">
        <v>1577</v>
      </c>
      <c r="H177" s="5" t="s">
        <v>1572</v>
      </c>
      <c r="I177" s="5" t="s">
        <v>1063</v>
      </c>
      <c r="J177" s="6" t="s">
        <v>1578</v>
      </c>
      <c r="K177" s="7" t="s">
        <v>1579</v>
      </c>
    </row>
    <row r="178" spans="1:11">
      <c r="A178" s="5">
        <v>337</v>
      </c>
      <c r="B178" s="5">
        <v>3</v>
      </c>
      <c r="C178" s="5" t="s">
        <v>1580</v>
      </c>
      <c r="D178" s="5" t="s">
        <v>1581</v>
      </c>
      <c r="E178" s="5" t="s">
        <v>781</v>
      </c>
      <c r="F178" s="5" t="s">
        <v>782</v>
      </c>
      <c r="G178" s="6" t="s">
        <v>1582</v>
      </c>
      <c r="H178" s="5" t="s">
        <v>1572</v>
      </c>
      <c r="I178" s="5" t="s">
        <v>1063</v>
      </c>
      <c r="J178" s="6" t="s">
        <v>1583</v>
      </c>
      <c r="K178" s="7" t="s">
        <v>1584</v>
      </c>
    </row>
    <row r="179" spans="1:11">
      <c r="A179" s="5">
        <v>338</v>
      </c>
      <c r="B179" s="5">
        <v>3</v>
      </c>
      <c r="C179" s="5" t="s">
        <v>1585</v>
      </c>
      <c r="D179" s="5" t="s">
        <v>1586</v>
      </c>
      <c r="E179" s="5" t="s">
        <v>781</v>
      </c>
      <c r="F179" s="5" t="s">
        <v>782</v>
      </c>
      <c r="G179" s="6" t="s">
        <v>1587</v>
      </c>
      <c r="H179" s="5" t="s">
        <v>1572</v>
      </c>
      <c r="I179" s="5" t="s">
        <v>1063</v>
      </c>
      <c r="J179" s="6" t="s">
        <v>1588</v>
      </c>
      <c r="K179" s="7" t="s">
        <v>1589</v>
      </c>
    </row>
    <row r="180" spans="1:11">
      <c r="A180" s="5">
        <v>339</v>
      </c>
      <c r="B180" s="5">
        <v>3</v>
      </c>
      <c r="C180" s="5" t="s">
        <v>1590</v>
      </c>
      <c r="D180" s="5" t="s">
        <v>1591</v>
      </c>
      <c r="E180" s="5" t="s">
        <v>781</v>
      </c>
      <c r="F180" s="5" t="s">
        <v>782</v>
      </c>
      <c r="G180" s="6" t="s">
        <v>1592</v>
      </c>
      <c r="H180" s="5" t="s">
        <v>1572</v>
      </c>
      <c r="I180" s="5" t="s">
        <v>1063</v>
      </c>
      <c r="J180" s="6" t="s">
        <v>1593</v>
      </c>
      <c r="K180" s="7" t="s">
        <v>1594</v>
      </c>
    </row>
    <row r="181" spans="1:11">
      <c r="A181" s="5">
        <v>340</v>
      </c>
      <c r="B181" s="5">
        <v>3</v>
      </c>
      <c r="C181" s="5" t="s">
        <v>1595</v>
      </c>
      <c r="D181" s="5" t="s">
        <v>1596</v>
      </c>
      <c r="E181" s="5" t="s">
        <v>781</v>
      </c>
      <c r="F181" s="5" t="s">
        <v>782</v>
      </c>
      <c r="G181" s="6" t="s">
        <v>1597</v>
      </c>
      <c r="H181" s="5" t="s">
        <v>1572</v>
      </c>
      <c r="I181" s="5" t="s">
        <v>1063</v>
      </c>
      <c r="J181" s="6" t="s">
        <v>1598</v>
      </c>
      <c r="K181" s="7" t="s">
        <v>1599</v>
      </c>
    </row>
    <row r="182" spans="1:11">
      <c r="A182" s="5">
        <v>341</v>
      </c>
      <c r="B182" s="5">
        <v>3</v>
      </c>
      <c r="C182" s="5" t="s">
        <v>1600</v>
      </c>
      <c r="D182" s="5" t="s">
        <v>1601</v>
      </c>
      <c r="E182" s="5" t="s">
        <v>781</v>
      </c>
      <c r="F182" s="5" t="s">
        <v>821</v>
      </c>
      <c r="G182" s="6" t="s">
        <v>1602</v>
      </c>
      <c r="H182" s="5" t="s">
        <v>1572</v>
      </c>
      <c r="I182" s="5" t="s">
        <v>1063</v>
      </c>
      <c r="J182" s="6" t="s">
        <v>1583</v>
      </c>
      <c r="K182" s="7" t="s">
        <v>1584</v>
      </c>
    </row>
    <row r="183" spans="1:11">
      <c r="A183" s="5">
        <v>342</v>
      </c>
      <c r="B183" s="5">
        <v>3</v>
      </c>
      <c r="C183" s="5" t="s">
        <v>1603</v>
      </c>
      <c r="D183" s="5" t="s">
        <v>1604</v>
      </c>
      <c r="E183" s="5" t="s">
        <v>799</v>
      </c>
      <c r="F183" s="5" t="s">
        <v>782</v>
      </c>
      <c r="G183" s="6" t="s">
        <v>1605</v>
      </c>
      <c r="H183" s="5" t="s">
        <v>1572</v>
      </c>
      <c r="I183" s="5" t="s">
        <v>1063</v>
      </c>
      <c r="J183" s="6" t="s">
        <v>1606</v>
      </c>
      <c r="K183" s="7" t="s">
        <v>1607</v>
      </c>
    </row>
    <row r="184" spans="1:11">
      <c r="A184" s="5">
        <v>343</v>
      </c>
      <c r="B184" s="5">
        <v>3</v>
      </c>
      <c r="C184" s="5" t="s">
        <v>1608</v>
      </c>
      <c r="D184" s="5" t="s">
        <v>1609</v>
      </c>
      <c r="E184" s="5" t="s">
        <v>781</v>
      </c>
      <c r="F184" s="5" t="s">
        <v>782</v>
      </c>
      <c r="G184" s="6" t="s">
        <v>1610</v>
      </c>
      <c r="H184" s="5" t="s">
        <v>1611</v>
      </c>
      <c r="I184" s="5" t="s">
        <v>1063</v>
      </c>
      <c r="J184" s="6" t="s">
        <v>1612</v>
      </c>
      <c r="K184" s="7" t="s">
        <v>1613</v>
      </c>
    </row>
    <row r="185" spans="1:11">
      <c r="A185" s="5">
        <v>344</v>
      </c>
      <c r="B185" s="5">
        <v>3</v>
      </c>
      <c r="C185" s="5" t="s">
        <v>1614</v>
      </c>
      <c r="D185" s="5" t="s">
        <v>1615</v>
      </c>
      <c r="E185" s="5" t="s">
        <v>781</v>
      </c>
      <c r="F185" s="5" t="s">
        <v>782</v>
      </c>
      <c r="G185" s="6" t="s">
        <v>1616</v>
      </c>
      <c r="H185" s="5" t="s">
        <v>1611</v>
      </c>
      <c r="I185" s="5" t="s">
        <v>1063</v>
      </c>
      <c r="J185" s="6" t="s">
        <v>1617</v>
      </c>
      <c r="K185" s="7" t="s">
        <v>1618</v>
      </c>
    </row>
    <row r="186" spans="1:11">
      <c r="A186" s="5">
        <v>345</v>
      </c>
      <c r="B186" s="5">
        <v>3</v>
      </c>
      <c r="C186" s="5" t="s">
        <v>1619</v>
      </c>
      <c r="D186" s="5">
        <v>2248</v>
      </c>
      <c r="E186" s="5" t="s">
        <v>799</v>
      </c>
      <c r="F186" s="5" t="s">
        <v>782</v>
      </c>
      <c r="G186" s="6" t="s">
        <v>1620</v>
      </c>
      <c r="H186" s="5" t="s">
        <v>1611</v>
      </c>
      <c r="I186" s="5" t="s">
        <v>1063</v>
      </c>
      <c r="J186" s="6" t="s">
        <v>1621</v>
      </c>
      <c r="K186" s="7" t="s">
        <v>1622</v>
      </c>
    </row>
    <row r="187" spans="1:11">
      <c r="A187" s="5">
        <v>346</v>
      </c>
      <c r="B187" s="5">
        <v>3</v>
      </c>
      <c r="C187" s="5" t="s">
        <v>9</v>
      </c>
      <c r="D187" s="5" t="s">
        <v>1623</v>
      </c>
      <c r="E187" s="5" t="s">
        <v>781</v>
      </c>
      <c r="F187" s="5" t="s">
        <v>782</v>
      </c>
      <c r="G187" s="6" t="s">
        <v>1624</v>
      </c>
      <c r="H187" s="5" t="s">
        <v>1625</v>
      </c>
      <c r="I187" s="5" t="s">
        <v>1063</v>
      </c>
      <c r="J187" s="6" t="s">
        <v>1626</v>
      </c>
      <c r="K187" s="7" t="s">
        <v>1627</v>
      </c>
    </row>
    <row r="188" spans="1:11">
      <c r="A188" s="5">
        <v>347</v>
      </c>
      <c r="B188" s="5">
        <v>3</v>
      </c>
      <c r="C188" s="5" t="s">
        <v>12</v>
      </c>
      <c r="D188" s="5" t="s">
        <v>1628</v>
      </c>
      <c r="E188" s="5" t="s">
        <v>781</v>
      </c>
      <c r="F188" s="5" t="s">
        <v>782</v>
      </c>
      <c r="G188" s="6" t="s">
        <v>1629</v>
      </c>
      <c r="H188" s="5" t="s">
        <v>1625</v>
      </c>
      <c r="I188" s="5" t="s">
        <v>1063</v>
      </c>
      <c r="J188" s="6" t="s">
        <v>1630</v>
      </c>
      <c r="K188" s="7" t="s">
        <v>1631</v>
      </c>
    </row>
    <row r="189" spans="1:11">
      <c r="A189" s="5">
        <v>348</v>
      </c>
      <c r="B189" s="5">
        <v>3</v>
      </c>
      <c r="C189" s="5" t="s">
        <v>21</v>
      </c>
      <c r="D189" s="5" t="s">
        <v>1632</v>
      </c>
      <c r="E189" s="5" t="s">
        <v>781</v>
      </c>
      <c r="F189" s="5" t="s">
        <v>782</v>
      </c>
      <c r="G189" s="6" t="s">
        <v>1633</v>
      </c>
      <c r="H189" s="5" t="s">
        <v>1625</v>
      </c>
      <c r="I189" s="5" t="s">
        <v>1063</v>
      </c>
      <c r="J189" s="6" t="s">
        <v>1634</v>
      </c>
      <c r="K189" s="7" t="s">
        <v>1635</v>
      </c>
    </row>
    <row r="190" spans="1:11">
      <c r="A190" s="5">
        <v>349</v>
      </c>
      <c r="B190" s="5">
        <v>3</v>
      </c>
      <c r="C190" s="5" t="s">
        <v>27</v>
      </c>
      <c r="D190" s="5" t="s">
        <v>1636</v>
      </c>
      <c r="E190" s="5" t="s">
        <v>781</v>
      </c>
      <c r="F190" s="5" t="s">
        <v>782</v>
      </c>
      <c r="G190" s="6" t="s">
        <v>1637</v>
      </c>
      <c r="H190" s="5" t="s">
        <v>1625</v>
      </c>
      <c r="I190" s="5" t="s">
        <v>1063</v>
      </c>
      <c r="J190" s="6" t="s">
        <v>1638</v>
      </c>
      <c r="K190" s="7" t="s">
        <v>1639</v>
      </c>
    </row>
    <row r="191" spans="1:11">
      <c r="A191" s="5">
        <v>350</v>
      </c>
      <c r="B191" s="5">
        <v>3</v>
      </c>
      <c r="C191" s="5" t="s">
        <v>28</v>
      </c>
      <c r="D191" s="5" t="s">
        <v>1640</v>
      </c>
      <c r="E191" s="5" t="s">
        <v>781</v>
      </c>
      <c r="F191" s="5" t="s">
        <v>782</v>
      </c>
      <c r="G191" s="6" t="s">
        <v>1641</v>
      </c>
      <c r="H191" s="5" t="s">
        <v>1625</v>
      </c>
      <c r="I191" s="5" t="s">
        <v>1063</v>
      </c>
      <c r="J191" s="6" t="s">
        <v>1642</v>
      </c>
      <c r="K191" s="7" t="s">
        <v>1643</v>
      </c>
    </row>
    <row r="192" spans="1:11">
      <c r="A192" s="5">
        <v>351</v>
      </c>
      <c r="B192" s="5">
        <v>3</v>
      </c>
      <c r="C192" s="5" t="s">
        <v>31</v>
      </c>
      <c r="D192" s="5" t="s">
        <v>1644</v>
      </c>
      <c r="E192" s="5" t="s">
        <v>781</v>
      </c>
      <c r="F192" s="5" t="s">
        <v>782</v>
      </c>
      <c r="G192" s="6" t="s">
        <v>1645</v>
      </c>
      <c r="H192" s="5" t="s">
        <v>1625</v>
      </c>
      <c r="I192" s="5" t="s">
        <v>1063</v>
      </c>
      <c r="J192" s="6" t="s">
        <v>1646</v>
      </c>
      <c r="K192" s="7" t="s">
        <v>1647</v>
      </c>
    </row>
    <row r="193" spans="1:11">
      <c r="A193" s="5">
        <v>352</v>
      </c>
      <c r="B193" s="5">
        <v>3</v>
      </c>
      <c r="C193" s="5" t="s">
        <v>3</v>
      </c>
      <c r="D193" s="5" t="s">
        <v>1648</v>
      </c>
      <c r="E193" s="5" t="s">
        <v>781</v>
      </c>
      <c r="F193" s="5" t="s">
        <v>821</v>
      </c>
      <c r="G193" s="6" t="s">
        <v>1649</v>
      </c>
      <c r="H193" s="5" t="s">
        <v>1625</v>
      </c>
      <c r="I193" s="5" t="s">
        <v>1063</v>
      </c>
      <c r="J193" s="6" t="s">
        <v>1638</v>
      </c>
      <c r="K193" s="7" t="s">
        <v>1639</v>
      </c>
    </row>
    <row r="194" spans="1:11">
      <c r="A194" s="5">
        <v>353</v>
      </c>
      <c r="B194" s="5">
        <v>3</v>
      </c>
      <c r="C194" s="5" t="s">
        <v>24</v>
      </c>
      <c r="D194" s="5">
        <v>2289</v>
      </c>
      <c r="E194" s="5" t="s">
        <v>799</v>
      </c>
      <c r="F194" s="5" t="s">
        <v>782</v>
      </c>
      <c r="G194" s="6" t="s">
        <v>1650</v>
      </c>
      <c r="H194" s="5" t="s">
        <v>1625</v>
      </c>
      <c r="I194" s="5" t="s">
        <v>1063</v>
      </c>
      <c r="J194" s="6" t="s">
        <v>1651</v>
      </c>
      <c r="K194" s="7" t="s">
        <v>1652</v>
      </c>
    </row>
    <row r="195" spans="1:11">
      <c r="A195" s="5">
        <v>354</v>
      </c>
      <c r="B195" s="5">
        <v>3</v>
      </c>
      <c r="C195" s="5" t="s">
        <v>1653</v>
      </c>
      <c r="D195" s="5" t="s">
        <v>1654</v>
      </c>
      <c r="E195" s="5" t="s">
        <v>781</v>
      </c>
      <c r="F195" s="5" t="s">
        <v>782</v>
      </c>
      <c r="G195" s="6" t="s">
        <v>1655</v>
      </c>
      <c r="H195" s="5" t="s">
        <v>1656</v>
      </c>
      <c r="I195" s="5" t="s">
        <v>1063</v>
      </c>
      <c r="J195" s="6" t="s">
        <v>1657</v>
      </c>
      <c r="K195" s="7" t="s">
        <v>1658</v>
      </c>
    </row>
    <row r="196" spans="1:11">
      <c r="A196" s="5">
        <v>355</v>
      </c>
      <c r="B196" s="5">
        <v>3</v>
      </c>
      <c r="C196" s="5" t="s">
        <v>1659</v>
      </c>
      <c r="D196" s="5" t="s">
        <v>1660</v>
      </c>
      <c r="E196" s="5" t="s">
        <v>781</v>
      </c>
      <c r="F196" s="5" t="s">
        <v>782</v>
      </c>
      <c r="G196" s="6" t="s">
        <v>1661</v>
      </c>
      <c r="H196" s="5" t="s">
        <v>1656</v>
      </c>
      <c r="I196" s="5" t="s">
        <v>1063</v>
      </c>
      <c r="J196" s="6" t="s">
        <v>1662</v>
      </c>
      <c r="K196" s="7" t="s">
        <v>1663</v>
      </c>
    </row>
    <row r="197" spans="1:11">
      <c r="A197" s="5">
        <v>356</v>
      </c>
      <c r="B197" s="5">
        <v>3</v>
      </c>
      <c r="C197" s="5" t="s">
        <v>1664</v>
      </c>
      <c r="D197" s="5" t="s">
        <v>1665</v>
      </c>
      <c r="E197" s="5" t="s">
        <v>781</v>
      </c>
      <c r="F197" s="5" t="s">
        <v>782</v>
      </c>
      <c r="G197" s="6" t="s">
        <v>1666</v>
      </c>
      <c r="H197" s="5" t="s">
        <v>1656</v>
      </c>
      <c r="I197" s="5" t="s">
        <v>1063</v>
      </c>
      <c r="J197" s="6" t="s">
        <v>1667</v>
      </c>
      <c r="K197" s="7" t="s">
        <v>1668</v>
      </c>
    </row>
    <row r="198" spans="1:11">
      <c r="A198" s="5">
        <v>357</v>
      </c>
      <c r="B198" s="5">
        <v>3</v>
      </c>
      <c r="C198" s="5" t="s">
        <v>1669</v>
      </c>
      <c r="D198" s="5">
        <v>2261</v>
      </c>
      <c r="E198" s="5" t="s">
        <v>781</v>
      </c>
      <c r="F198" s="5" t="s">
        <v>821</v>
      </c>
      <c r="G198" s="6" t="s">
        <v>1670</v>
      </c>
      <c r="H198" s="5" t="s">
        <v>1656</v>
      </c>
      <c r="I198" s="5" t="s">
        <v>1063</v>
      </c>
      <c r="J198" s="6" t="s">
        <v>1662</v>
      </c>
      <c r="K198" s="7" t="s">
        <v>1663</v>
      </c>
    </row>
    <row r="199" spans="1:11">
      <c r="A199" s="5">
        <v>358</v>
      </c>
      <c r="B199" s="5">
        <v>3</v>
      </c>
      <c r="C199" s="5" t="s">
        <v>1671</v>
      </c>
      <c r="D199" s="5">
        <v>2267</v>
      </c>
      <c r="E199" s="5" t="s">
        <v>781</v>
      </c>
      <c r="F199" s="5" t="s">
        <v>821</v>
      </c>
      <c r="G199" s="6" t="s">
        <v>1672</v>
      </c>
      <c r="H199" s="5" t="s">
        <v>1656</v>
      </c>
      <c r="I199" s="5" t="s">
        <v>1063</v>
      </c>
      <c r="J199" s="6" t="s">
        <v>1667</v>
      </c>
      <c r="K199" s="7" t="s">
        <v>1668</v>
      </c>
    </row>
    <row r="200" spans="1:11">
      <c r="A200" s="5">
        <v>359</v>
      </c>
      <c r="B200" s="5">
        <v>3</v>
      </c>
      <c r="C200" s="5" t="s">
        <v>1673</v>
      </c>
      <c r="D200" s="5">
        <v>2268</v>
      </c>
      <c r="E200" s="5" t="s">
        <v>781</v>
      </c>
      <c r="F200" s="5" t="s">
        <v>821</v>
      </c>
      <c r="G200" s="6" t="s">
        <v>1674</v>
      </c>
      <c r="H200" s="5" t="s">
        <v>1656</v>
      </c>
      <c r="I200" s="5" t="s">
        <v>1063</v>
      </c>
      <c r="J200" s="6" t="s">
        <v>1675</v>
      </c>
      <c r="K200" s="7" t="s">
        <v>1676</v>
      </c>
    </row>
    <row r="201" spans="1:11">
      <c r="A201" s="5">
        <v>360</v>
      </c>
      <c r="B201" s="5">
        <v>3</v>
      </c>
      <c r="C201" s="5" t="s">
        <v>1677</v>
      </c>
      <c r="D201" s="5">
        <v>2283</v>
      </c>
      <c r="E201" s="5" t="s">
        <v>799</v>
      </c>
      <c r="F201" s="5" t="s">
        <v>782</v>
      </c>
      <c r="G201" s="6" t="s">
        <v>1678</v>
      </c>
      <c r="H201" s="5" t="s">
        <v>1656</v>
      </c>
      <c r="I201" s="5" t="s">
        <v>1063</v>
      </c>
      <c r="J201" s="6" t="s">
        <v>1679</v>
      </c>
      <c r="K201" s="7" t="s">
        <v>1680</v>
      </c>
    </row>
    <row r="202" spans="1:11">
      <c r="A202" s="5">
        <v>361</v>
      </c>
      <c r="B202" s="5">
        <v>3</v>
      </c>
      <c r="C202" s="5" t="s">
        <v>6</v>
      </c>
      <c r="D202" s="5" t="s">
        <v>1681</v>
      </c>
      <c r="E202" s="5" t="s">
        <v>781</v>
      </c>
      <c r="F202" s="5" t="s">
        <v>782</v>
      </c>
      <c r="G202" s="6" t="s">
        <v>1682</v>
      </c>
      <c r="H202" s="5" t="s">
        <v>1683</v>
      </c>
      <c r="I202" s="5" t="s">
        <v>1063</v>
      </c>
      <c r="J202" s="6" t="s">
        <v>1684</v>
      </c>
      <c r="K202" s="7" t="s">
        <v>1685</v>
      </c>
    </row>
    <row r="203" spans="1:11">
      <c r="A203" s="5">
        <v>362</v>
      </c>
      <c r="B203" s="5">
        <v>3</v>
      </c>
      <c r="C203" s="5" t="s">
        <v>1686</v>
      </c>
      <c r="D203" s="5" t="s">
        <v>1687</v>
      </c>
      <c r="E203" s="5" t="s">
        <v>781</v>
      </c>
      <c r="F203" s="5" t="s">
        <v>782</v>
      </c>
      <c r="G203" s="6" t="s">
        <v>1688</v>
      </c>
      <c r="H203" s="5" t="s">
        <v>1689</v>
      </c>
      <c r="I203" s="5" t="s">
        <v>1063</v>
      </c>
      <c r="J203" s="6" t="s">
        <v>1690</v>
      </c>
      <c r="K203" s="7" t="s">
        <v>1691</v>
      </c>
    </row>
    <row r="204" spans="1:11">
      <c r="A204" s="5">
        <v>363</v>
      </c>
      <c r="B204" s="5">
        <v>3</v>
      </c>
      <c r="C204" s="5" t="s">
        <v>1692</v>
      </c>
      <c r="D204" s="5" t="s">
        <v>1693</v>
      </c>
      <c r="E204" s="5" t="s">
        <v>781</v>
      </c>
      <c r="F204" s="5" t="s">
        <v>782</v>
      </c>
      <c r="G204" s="6" t="s">
        <v>1694</v>
      </c>
      <c r="H204" s="5" t="s">
        <v>1689</v>
      </c>
      <c r="I204" s="5" t="s">
        <v>1063</v>
      </c>
      <c r="J204" s="6" t="s">
        <v>1695</v>
      </c>
      <c r="K204" s="7" t="s">
        <v>1696</v>
      </c>
    </row>
    <row r="205" spans="1:11">
      <c r="A205" s="5">
        <v>364</v>
      </c>
      <c r="B205" s="5">
        <v>3</v>
      </c>
      <c r="C205" s="5" t="s">
        <v>1697</v>
      </c>
      <c r="D205" s="5">
        <v>2288</v>
      </c>
      <c r="E205" s="5" t="s">
        <v>781</v>
      </c>
      <c r="F205" s="5" t="s">
        <v>782</v>
      </c>
      <c r="G205" s="6" t="s">
        <v>1698</v>
      </c>
      <c r="H205" s="5" t="s">
        <v>1689</v>
      </c>
      <c r="I205" s="5" t="s">
        <v>1063</v>
      </c>
      <c r="J205" s="6" t="s">
        <v>1699</v>
      </c>
      <c r="K205" s="7" t="s">
        <v>1700</v>
      </c>
    </row>
    <row r="206" spans="1:11">
      <c r="A206" s="5">
        <v>365</v>
      </c>
      <c r="B206" s="5">
        <v>3</v>
      </c>
      <c r="C206" s="5" t="s">
        <v>1701</v>
      </c>
      <c r="D206" s="5" t="s">
        <v>1702</v>
      </c>
      <c r="E206" s="5" t="s">
        <v>781</v>
      </c>
      <c r="F206" s="5" t="s">
        <v>782</v>
      </c>
      <c r="G206" s="6" t="s">
        <v>1703</v>
      </c>
      <c r="H206" s="5" t="s">
        <v>1689</v>
      </c>
      <c r="I206" s="5" t="s">
        <v>1063</v>
      </c>
      <c r="J206" s="6" t="s">
        <v>1704</v>
      </c>
      <c r="K206" s="7" t="s">
        <v>1705</v>
      </c>
    </row>
    <row r="207" spans="1:11">
      <c r="A207" s="5">
        <v>366</v>
      </c>
      <c r="B207" s="5">
        <v>3</v>
      </c>
      <c r="C207" s="5" t="s">
        <v>1706</v>
      </c>
      <c r="D207" s="5">
        <v>2284</v>
      </c>
      <c r="E207" s="5" t="s">
        <v>781</v>
      </c>
      <c r="F207" s="5" t="s">
        <v>782</v>
      </c>
      <c r="G207" s="6" t="s">
        <v>1707</v>
      </c>
      <c r="H207" s="5" t="s">
        <v>1689</v>
      </c>
      <c r="I207" s="5" t="s">
        <v>1063</v>
      </c>
      <c r="J207" s="6" t="s">
        <v>1708</v>
      </c>
      <c r="K207" s="7" t="s">
        <v>1709</v>
      </c>
    </row>
    <row r="208" spans="1:11">
      <c r="A208" s="5">
        <v>367</v>
      </c>
      <c r="B208" s="5">
        <v>3</v>
      </c>
      <c r="C208" s="5" t="s">
        <v>1710</v>
      </c>
      <c r="D208" s="5">
        <v>2258</v>
      </c>
      <c r="E208" s="5" t="s">
        <v>781</v>
      </c>
      <c r="F208" s="5" t="s">
        <v>821</v>
      </c>
      <c r="G208" s="6" t="s">
        <v>1711</v>
      </c>
      <c r="H208" s="5" t="s">
        <v>1689</v>
      </c>
      <c r="I208" s="5" t="s">
        <v>1063</v>
      </c>
      <c r="J208" s="6" t="s">
        <v>1695</v>
      </c>
      <c r="K208" s="7" t="s">
        <v>1696</v>
      </c>
    </row>
    <row r="209" spans="1:11">
      <c r="A209" s="5">
        <v>368</v>
      </c>
      <c r="B209" s="5">
        <v>3</v>
      </c>
      <c r="C209" s="5" t="s">
        <v>1712</v>
      </c>
      <c r="D209" s="5">
        <v>2260</v>
      </c>
      <c r="E209" s="5" t="s">
        <v>781</v>
      </c>
      <c r="F209" s="5" t="s">
        <v>821</v>
      </c>
      <c r="G209" s="6" t="s">
        <v>1713</v>
      </c>
      <c r="H209" s="5" t="s">
        <v>1689</v>
      </c>
      <c r="I209" s="5" t="s">
        <v>1063</v>
      </c>
      <c r="J209" s="6" t="s">
        <v>1690</v>
      </c>
      <c r="K209" s="7" t="s">
        <v>1691</v>
      </c>
    </row>
    <row r="210" spans="1:11">
      <c r="A210" s="5">
        <v>369</v>
      </c>
      <c r="B210" s="5">
        <v>3</v>
      </c>
      <c r="C210" s="5" t="s">
        <v>1714</v>
      </c>
      <c r="D210" s="5" t="s">
        <v>1715</v>
      </c>
      <c r="E210" s="5" t="s">
        <v>781</v>
      </c>
      <c r="F210" s="5" t="s">
        <v>821</v>
      </c>
      <c r="G210" s="6" t="s">
        <v>1716</v>
      </c>
      <c r="H210" s="5" t="s">
        <v>1689</v>
      </c>
      <c r="I210" s="5" t="s">
        <v>1063</v>
      </c>
      <c r="J210" s="6" t="s">
        <v>1699</v>
      </c>
      <c r="K210" s="7" t="s">
        <v>1700</v>
      </c>
    </row>
    <row r="211" spans="1:11">
      <c r="A211" s="5">
        <v>370</v>
      </c>
      <c r="B211" s="5">
        <v>3</v>
      </c>
      <c r="C211" s="5" t="s">
        <v>1717</v>
      </c>
      <c r="D211" s="5">
        <v>2240</v>
      </c>
      <c r="E211" s="5" t="s">
        <v>799</v>
      </c>
      <c r="F211" s="5" t="s">
        <v>782</v>
      </c>
      <c r="G211" s="6" t="s">
        <v>1718</v>
      </c>
      <c r="H211" s="5" t="s">
        <v>1689</v>
      </c>
      <c r="I211" s="5" t="s">
        <v>1063</v>
      </c>
      <c r="J211" s="6" t="s">
        <v>1719</v>
      </c>
      <c r="K211" s="7" t="s">
        <v>1720</v>
      </c>
    </row>
    <row r="212" spans="1:11">
      <c r="A212" s="5">
        <v>371</v>
      </c>
      <c r="B212" s="5">
        <v>3</v>
      </c>
      <c r="C212" s="5" t="s">
        <v>1721</v>
      </c>
      <c r="D212" s="5" t="s">
        <v>1722</v>
      </c>
      <c r="E212" s="5" t="s">
        <v>799</v>
      </c>
      <c r="F212" s="5" t="s">
        <v>782</v>
      </c>
      <c r="G212" s="6" t="s">
        <v>1723</v>
      </c>
      <c r="H212" s="5" t="s">
        <v>1689</v>
      </c>
      <c r="I212" s="5" t="s">
        <v>1063</v>
      </c>
      <c r="J212" s="6" t="s">
        <v>1724</v>
      </c>
      <c r="K212" s="7" t="s">
        <v>1725</v>
      </c>
    </row>
    <row r="213" spans="1:11">
      <c r="A213" s="5">
        <v>372</v>
      </c>
      <c r="B213" s="5">
        <v>3</v>
      </c>
      <c r="C213" s="5" t="s">
        <v>1726</v>
      </c>
      <c r="D213" s="5" t="s">
        <v>1727</v>
      </c>
      <c r="E213" s="5" t="s">
        <v>799</v>
      </c>
      <c r="F213" s="5" t="s">
        <v>782</v>
      </c>
      <c r="G213" s="6" t="s">
        <v>1728</v>
      </c>
      <c r="H213" s="5" t="s">
        <v>1689</v>
      </c>
      <c r="I213" s="5" t="s">
        <v>1063</v>
      </c>
      <c r="J213" s="6" t="s">
        <v>1729</v>
      </c>
      <c r="K213" s="7" t="s">
        <v>1730</v>
      </c>
    </row>
    <row r="214" spans="1:11">
      <c r="A214" s="5">
        <v>373</v>
      </c>
      <c r="B214" s="5">
        <v>3</v>
      </c>
      <c r="C214" s="5" t="s">
        <v>1731</v>
      </c>
      <c r="D214" s="5" t="s">
        <v>1732</v>
      </c>
      <c r="E214" s="5" t="s">
        <v>799</v>
      </c>
      <c r="F214" s="5" t="s">
        <v>782</v>
      </c>
      <c r="G214" s="6" t="s">
        <v>1733</v>
      </c>
      <c r="H214" s="5" t="s">
        <v>1689</v>
      </c>
      <c r="I214" s="5" t="s">
        <v>1063</v>
      </c>
      <c r="J214" s="6" t="s">
        <v>1734</v>
      </c>
      <c r="K214" s="7" t="s">
        <v>1735</v>
      </c>
    </row>
    <row r="215" spans="1:11">
      <c r="A215" s="5">
        <v>374</v>
      </c>
      <c r="B215" s="5">
        <v>3</v>
      </c>
      <c r="C215" s="5" t="s">
        <v>1736</v>
      </c>
      <c r="D215" s="5" t="s">
        <v>1737</v>
      </c>
      <c r="E215" s="5" t="s">
        <v>781</v>
      </c>
      <c r="F215" s="5" t="s">
        <v>782</v>
      </c>
      <c r="G215" s="6" t="s">
        <v>1738</v>
      </c>
      <c r="H215" s="5" t="s">
        <v>1739</v>
      </c>
      <c r="I215" s="5" t="s">
        <v>1063</v>
      </c>
      <c r="J215" s="6" t="s">
        <v>1740</v>
      </c>
      <c r="K215" s="7" t="s">
        <v>1741</v>
      </c>
    </row>
    <row r="216" spans="1:11">
      <c r="A216" s="5">
        <v>375</v>
      </c>
      <c r="B216" s="5">
        <v>3</v>
      </c>
      <c r="C216" s="5" t="s">
        <v>1742</v>
      </c>
      <c r="D216" s="5" t="s">
        <v>1743</v>
      </c>
      <c r="E216" s="5" t="s">
        <v>781</v>
      </c>
      <c r="F216" s="5" t="s">
        <v>782</v>
      </c>
      <c r="G216" s="6" t="s">
        <v>1744</v>
      </c>
      <c r="H216" s="5" t="s">
        <v>1745</v>
      </c>
      <c r="I216" s="5" t="s">
        <v>1063</v>
      </c>
      <c r="J216" s="6" t="s">
        <v>1746</v>
      </c>
      <c r="K216" s="7" t="s">
        <v>1747</v>
      </c>
    </row>
    <row r="217" spans="1:11">
      <c r="A217" s="5">
        <v>376</v>
      </c>
      <c r="B217" s="5">
        <v>3</v>
      </c>
      <c r="C217" s="5" t="s">
        <v>1748</v>
      </c>
      <c r="D217" s="5">
        <v>2266</v>
      </c>
      <c r="E217" s="5" t="s">
        <v>781</v>
      </c>
      <c r="F217" s="5" t="s">
        <v>821</v>
      </c>
      <c r="G217" s="6" t="s">
        <v>1749</v>
      </c>
      <c r="H217" s="5" t="s">
        <v>1745</v>
      </c>
      <c r="I217" s="5" t="s">
        <v>1063</v>
      </c>
      <c r="J217" s="6" t="s">
        <v>1746</v>
      </c>
      <c r="K217" s="7" t="s">
        <v>1747</v>
      </c>
    </row>
    <row r="218" spans="1:11">
      <c r="A218" s="5">
        <v>377</v>
      </c>
      <c r="B218" s="5">
        <v>3</v>
      </c>
      <c r="C218" s="5" t="s">
        <v>1750</v>
      </c>
      <c r="D218" s="5" t="s">
        <v>1751</v>
      </c>
      <c r="E218" s="5" t="s">
        <v>781</v>
      </c>
      <c r="F218" s="5" t="s">
        <v>782</v>
      </c>
      <c r="G218" s="6" t="s">
        <v>1752</v>
      </c>
      <c r="H218" s="5" t="s">
        <v>1753</v>
      </c>
      <c r="I218" s="5" t="s">
        <v>1063</v>
      </c>
      <c r="J218" s="6" t="s">
        <v>1754</v>
      </c>
      <c r="K218" s="7" t="s">
        <v>1755</v>
      </c>
    </row>
    <row r="219" spans="1:11">
      <c r="A219" s="5">
        <v>378</v>
      </c>
      <c r="B219" s="5">
        <v>3</v>
      </c>
      <c r="C219" s="5" t="s">
        <v>1756</v>
      </c>
      <c r="D219" s="5" t="s">
        <v>1757</v>
      </c>
      <c r="E219" s="5" t="s">
        <v>781</v>
      </c>
      <c r="F219" s="5" t="s">
        <v>782</v>
      </c>
      <c r="G219" s="6" t="s">
        <v>1758</v>
      </c>
      <c r="H219" s="5" t="s">
        <v>1753</v>
      </c>
      <c r="I219" s="5" t="s">
        <v>1063</v>
      </c>
      <c r="J219" s="6" t="s">
        <v>1759</v>
      </c>
      <c r="K219" s="7" t="s">
        <v>1760</v>
      </c>
    </row>
    <row r="220" spans="1:11">
      <c r="A220" s="5">
        <v>379</v>
      </c>
      <c r="B220" s="5">
        <v>3</v>
      </c>
      <c r="C220" s="5" t="s">
        <v>1761</v>
      </c>
      <c r="D220" s="5" t="s">
        <v>1762</v>
      </c>
      <c r="E220" s="5" t="s">
        <v>781</v>
      </c>
      <c r="F220" s="5" t="s">
        <v>782</v>
      </c>
      <c r="G220" s="6" t="s">
        <v>1763</v>
      </c>
      <c r="H220" s="5" t="s">
        <v>1753</v>
      </c>
      <c r="I220" s="5" t="s">
        <v>1063</v>
      </c>
      <c r="J220" s="6" t="s">
        <v>1764</v>
      </c>
      <c r="K220" s="7" t="s">
        <v>1765</v>
      </c>
    </row>
    <row r="221" spans="1:11">
      <c r="A221" s="5">
        <v>380</v>
      </c>
      <c r="B221" s="5">
        <v>3</v>
      </c>
      <c r="C221" s="5" t="s">
        <v>1766</v>
      </c>
      <c r="D221" s="5" t="s">
        <v>1767</v>
      </c>
      <c r="E221" s="5" t="s">
        <v>781</v>
      </c>
      <c r="F221" s="5" t="s">
        <v>782</v>
      </c>
      <c r="G221" s="6" t="s">
        <v>1768</v>
      </c>
      <c r="H221" s="5" t="s">
        <v>1753</v>
      </c>
      <c r="I221" s="5" t="s">
        <v>1063</v>
      </c>
      <c r="J221" s="6" t="s">
        <v>1769</v>
      </c>
      <c r="K221" s="7" t="s">
        <v>1770</v>
      </c>
    </row>
    <row r="222" spans="1:11">
      <c r="A222" s="5">
        <v>381</v>
      </c>
      <c r="B222" s="5">
        <v>3</v>
      </c>
      <c r="C222" s="5" t="s">
        <v>1771</v>
      </c>
      <c r="D222" s="5">
        <v>2259</v>
      </c>
      <c r="E222" s="5" t="s">
        <v>781</v>
      </c>
      <c r="F222" s="5" t="s">
        <v>821</v>
      </c>
      <c r="G222" s="6" t="s">
        <v>1772</v>
      </c>
      <c r="H222" s="5" t="s">
        <v>1753</v>
      </c>
      <c r="I222" s="5" t="s">
        <v>1063</v>
      </c>
      <c r="J222" s="6" t="s">
        <v>1764</v>
      </c>
      <c r="K222" s="7" t="s">
        <v>1765</v>
      </c>
    </row>
    <row r="223" spans="1:11">
      <c r="A223" s="5">
        <v>382</v>
      </c>
      <c r="B223" s="5">
        <v>3</v>
      </c>
      <c r="C223" s="5" t="s">
        <v>1773</v>
      </c>
      <c r="D223" s="5" t="s">
        <v>1774</v>
      </c>
      <c r="E223" s="5" t="s">
        <v>799</v>
      </c>
      <c r="F223" s="5" t="s">
        <v>782</v>
      </c>
      <c r="G223" s="6" t="s">
        <v>1775</v>
      </c>
      <c r="H223" s="5" t="s">
        <v>1753</v>
      </c>
      <c r="I223" s="5" t="s">
        <v>1063</v>
      </c>
      <c r="J223" s="6" t="s">
        <v>1776</v>
      </c>
      <c r="K223" s="7" t="s">
        <v>1777</v>
      </c>
    </row>
    <row r="224" spans="1:11">
      <c r="A224" s="5">
        <v>383</v>
      </c>
      <c r="B224" s="5">
        <v>3</v>
      </c>
      <c r="C224" s="5" t="s">
        <v>1778</v>
      </c>
      <c r="D224" s="5" t="s">
        <v>1779</v>
      </c>
      <c r="E224" s="9" t="s">
        <v>799</v>
      </c>
      <c r="F224" s="5" t="s">
        <v>782</v>
      </c>
      <c r="G224" s="6" t="s">
        <v>1780</v>
      </c>
      <c r="H224" s="5" t="s">
        <v>1753</v>
      </c>
      <c r="I224" s="5" t="s">
        <v>1063</v>
      </c>
      <c r="J224" s="6" t="s">
        <v>1781</v>
      </c>
      <c r="K224" s="7" t="s">
        <v>1782</v>
      </c>
    </row>
    <row r="225" spans="1:11">
      <c r="A225" s="5">
        <v>384</v>
      </c>
      <c r="B225" s="5">
        <v>4</v>
      </c>
      <c r="C225" s="5" t="s">
        <v>78</v>
      </c>
      <c r="D225" s="5" t="s">
        <v>1783</v>
      </c>
      <c r="E225" s="5" t="s">
        <v>781</v>
      </c>
      <c r="F225" s="5" t="s">
        <v>782</v>
      </c>
      <c r="G225" s="6" t="s">
        <v>1784</v>
      </c>
      <c r="H225" s="5" t="s">
        <v>1785</v>
      </c>
      <c r="I225" s="5" t="s">
        <v>1786</v>
      </c>
      <c r="J225" s="6" t="s">
        <v>1787</v>
      </c>
      <c r="K225" s="7" t="s">
        <v>1788</v>
      </c>
    </row>
    <row r="226" spans="1:11">
      <c r="A226" s="5">
        <v>385</v>
      </c>
      <c r="B226" s="5">
        <v>4</v>
      </c>
      <c r="C226" s="5" t="s">
        <v>88</v>
      </c>
      <c r="D226" s="5">
        <v>2369</v>
      </c>
      <c r="E226" s="5" t="s">
        <v>781</v>
      </c>
      <c r="F226" s="5" t="s">
        <v>782</v>
      </c>
      <c r="G226" s="6" t="s">
        <v>1789</v>
      </c>
      <c r="H226" s="5" t="s">
        <v>1785</v>
      </c>
      <c r="I226" s="5" t="s">
        <v>1786</v>
      </c>
      <c r="J226" s="6" t="s">
        <v>1790</v>
      </c>
      <c r="K226" s="7" t="s">
        <v>1791</v>
      </c>
    </row>
    <row r="227" spans="1:11">
      <c r="A227" s="5">
        <v>386</v>
      </c>
      <c r="B227" s="5">
        <v>4</v>
      </c>
      <c r="C227" s="5" t="s">
        <v>46</v>
      </c>
      <c r="D227" s="5">
        <v>2358</v>
      </c>
      <c r="E227" s="5" t="s">
        <v>781</v>
      </c>
      <c r="F227" s="5" t="s">
        <v>821</v>
      </c>
      <c r="G227" s="6" t="s">
        <v>1792</v>
      </c>
      <c r="H227" s="5" t="s">
        <v>1785</v>
      </c>
      <c r="I227" s="5" t="s">
        <v>1786</v>
      </c>
      <c r="J227" s="6" t="s">
        <v>1787</v>
      </c>
      <c r="K227" s="7" t="s">
        <v>1788</v>
      </c>
    </row>
    <row r="228" spans="1:11">
      <c r="A228" s="5">
        <v>387</v>
      </c>
      <c r="B228" s="5">
        <v>4</v>
      </c>
      <c r="C228" s="5" t="s">
        <v>129</v>
      </c>
      <c r="D228" s="5">
        <v>2384</v>
      </c>
      <c r="E228" s="5" t="s">
        <v>799</v>
      </c>
      <c r="F228" s="5" t="s">
        <v>782</v>
      </c>
      <c r="G228" s="6" t="s">
        <v>1793</v>
      </c>
      <c r="H228" s="5" t="s">
        <v>1785</v>
      </c>
      <c r="I228" s="5" t="s">
        <v>1786</v>
      </c>
      <c r="J228" s="6" t="s">
        <v>1794</v>
      </c>
      <c r="K228" s="7" t="s">
        <v>1795</v>
      </c>
    </row>
    <row r="229" spans="1:11">
      <c r="A229" s="5">
        <v>388</v>
      </c>
      <c r="B229" s="5">
        <v>4</v>
      </c>
      <c r="C229" s="5" t="s">
        <v>91</v>
      </c>
      <c r="D229" s="5" t="s">
        <v>1796</v>
      </c>
      <c r="E229" s="5" t="s">
        <v>781</v>
      </c>
      <c r="F229" s="5" t="s">
        <v>782</v>
      </c>
      <c r="G229" s="6" t="s">
        <v>1797</v>
      </c>
      <c r="H229" s="5" t="s">
        <v>1798</v>
      </c>
      <c r="I229" s="5" t="s">
        <v>1786</v>
      </c>
      <c r="J229" s="6" t="s">
        <v>1799</v>
      </c>
      <c r="K229" s="7" t="s">
        <v>1800</v>
      </c>
    </row>
    <row r="230" spans="1:11">
      <c r="A230" s="5">
        <v>389</v>
      </c>
      <c r="B230" s="5">
        <v>4</v>
      </c>
      <c r="C230" s="5" t="s">
        <v>66</v>
      </c>
      <c r="D230" s="5" t="s">
        <v>1801</v>
      </c>
      <c r="E230" s="5" t="s">
        <v>781</v>
      </c>
      <c r="F230" s="5" t="s">
        <v>782</v>
      </c>
      <c r="G230" s="6" t="s">
        <v>1802</v>
      </c>
      <c r="H230" s="5" t="s">
        <v>1803</v>
      </c>
      <c r="I230" s="5" t="s">
        <v>1786</v>
      </c>
      <c r="J230" s="6" t="s">
        <v>1804</v>
      </c>
      <c r="K230" s="7" t="s">
        <v>1805</v>
      </c>
    </row>
    <row r="231" spans="1:11">
      <c r="A231" s="5">
        <v>390</v>
      </c>
      <c r="B231" s="5">
        <v>4</v>
      </c>
      <c r="C231" s="5" t="s">
        <v>138</v>
      </c>
      <c r="D231" s="5">
        <v>2395</v>
      </c>
      <c r="E231" s="5" t="s">
        <v>781</v>
      </c>
      <c r="F231" s="5" t="s">
        <v>782</v>
      </c>
      <c r="G231" s="6" t="s">
        <v>1806</v>
      </c>
      <c r="H231" s="5" t="s">
        <v>1803</v>
      </c>
      <c r="I231" s="5" t="s">
        <v>1786</v>
      </c>
      <c r="J231" s="6" t="s">
        <v>1807</v>
      </c>
      <c r="K231" s="7" t="s">
        <v>1808</v>
      </c>
    </row>
    <row r="232" spans="1:11">
      <c r="A232" s="5">
        <v>391</v>
      </c>
      <c r="B232" s="5">
        <v>4</v>
      </c>
      <c r="C232" s="5" t="s">
        <v>69</v>
      </c>
      <c r="D232" s="5" t="s">
        <v>1809</v>
      </c>
      <c r="E232" s="5" t="s">
        <v>781</v>
      </c>
      <c r="F232" s="5" t="s">
        <v>782</v>
      </c>
      <c r="G232" s="6" t="s">
        <v>1810</v>
      </c>
      <c r="H232" s="5" t="s">
        <v>1803</v>
      </c>
      <c r="I232" s="5" t="s">
        <v>1786</v>
      </c>
      <c r="J232" s="6" t="s">
        <v>1811</v>
      </c>
      <c r="K232" s="7" t="s">
        <v>1812</v>
      </c>
    </row>
    <row r="233" spans="1:11">
      <c r="A233" s="5">
        <v>392</v>
      </c>
      <c r="B233" s="5">
        <v>4</v>
      </c>
      <c r="C233" s="5" t="s">
        <v>52</v>
      </c>
      <c r="D233" s="5" t="s">
        <v>1813</v>
      </c>
      <c r="E233" s="5" t="s">
        <v>781</v>
      </c>
      <c r="F233" s="5" t="s">
        <v>782</v>
      </c>
      <c r="G233" s="6" t="s">
        <v>1814</v>
      </c>
      <c r="H233" s="5" t="s">
        <v>1815</v>
      </c>
      <c r="I233" s="5" t="s">
        <v>1786</v>
      </c>
      <c r="J233" s="6" t="s">
        <v>1816</v>
      </c>
      <c r="K233" s="7" t="s">
        <v>1817</v>
      </c>
    </row>
    <row r="234" spans="1:11">
      <c r="A234" s="5">
        <v>393</v>
      </c>
      <c r="B234" s="5">
        <v>4</v>
      </c>
      <c r="C234" s="5" t="s">
        <v>75</v>
      </c>
      <c r="D234" s="5" t="s">
        <v>1818</v>
      </c>
      <c r="E234" s="5" t="s">
        <v>781</v>
      </c>
      <c r="F234" s="5" t="s">
        <v>782</v>
      </c>
      <c r="G234" s="6" t="s">
        <v>1819</v>
      </c>
      <c r="H234" s="5" t="s">
        <v>1815</v>
      </c>
      <c r="I234" s="5" t="s">
        <v>1786</v>
      </c>
      <c r="J234" s="6" t="s">
        <v>1820</v>
      </c>
      <c r="K234" s="7" t="s">
        <v>1821</v>
      </c>
    </row>
    <row r="235" spans="1:11">
      <c r="A235" s="5">
        <v>394</v>
      </c>
      <c r="B235" s="5">
        <v>4</v>
      </c>
      <c r="C235" s="5" t="s">
        <v>150</v>
      </c>
      <c r="D235" s="5" t="s">
        <v>1822</v>
      </c>
      <c r="E235" s="5" t="s">
        <v>781</v>
      </c>
      <c r="F235" s="5" t="s">
        <v>782</v>
      </c>
      <c r="G235" s="6" t="s">
        <v>1823</v>
      </c>
      <c r="H235" s="5" t="s">
        <v>1824</v>
      </c>
      <c r="I235" s="5" t="s">
        <v>1786</v>
      </c>
      <c r="J235" s="6" t="s">
        <v>1825</v>
      </c>
      <c r="K235" s="7" t="s">
        <v>1826</v>
      </c>
    </row>
    <row r="236" spans="1:11">
      <c r="A236" s="5">
        <v>395</v>
      </c>
      <c r="B236" s="5">
        <v>4</v>
      </c>
      <c r="C236" s="5" t="s">
        <v>85</v>
      </c>
      <c r="D236" s="5">
        <v>2368</v>
      </c>
      <c r="E236" s="5" t="s">
        <v>781</v>
      </c>
      <c r="F236" s="5" t="s">
        <v>782</v>
      </c>
      <c r="G236" s="6" t="s">
        <v>1827</v>
      </c>
      <c r="H236" s="5" t="s">
        <v>1824</v>
      </c>
      <c r="I236" s="5" t="s">
        <v>1786</v>
      </c>
      <c r="J236" s="6" t="s">
        <v>1828</v>
      </c>
      <c r="K236" s="7" t="s">
        <v>1829</v>
      </c>
    </row>
    <row r="237" spans="1:11">
      <c r="A237" s="5">
        <v>396</v>
      </c>
      <c r="B237" s="5">
        <v>4</v>
      </c>
      <c r="C237" s="5" t="s">
        <v>65</v>
      </c>
      <c r="D237" s="5" t="s">
        <v>1830</v>
      </c>
      <c r="E237" s="5" t="s">
        <v>781</v>
      </c>
      <c r="F237" s="5" t="s">
        <v>782</v>
      </c>
      <c r="G237" s="6" t="s">
        <v>1831</v>
      </c>
      <c r="H237" s="5" t="s">
        <v>1824</v>
      </c>
      <c r="I237" s="5" t="s">
        <v>1786</v>
      </c>
      <c r="J237" s="6" t="s">
        <v>1832</v>
      </c>
      <c r="K237" s="7" t="s">
        <v>1833</v>
      </c>
    </row>
    <row r="238" spans="1:11">
      <c r="A238" s="5">
        <v>397</v>
      </c>
      <c r="B238" s="5">
        <v>4</v>
      </c>
      <c r="C238" s="5" t="s">
        <v>43</v>
      </c>
      <c r="D238" s="5">
        <v>2355</v>
      </c>
      <c r="E238" s="5" t="s">
        <v>781</v>
      </c>
      <c r="F238" s="5" t="s">
        <v>821</v>
      </c>
      <c r="G238" s="6" t="s">
        <v>1834</v>
      </c>
      <c r="H238" s="5" t="s">
        <v>1824</v>
      </c>
      <c r="I238" s="5" t="s">
        <v>1786</v>
      </c>
      <c r="J238" s="6" t="s">
        <v>1832</v>
      </c>
      <c r="K238" s="7" t="s">
        <v>1833</v>
      </c>
    </row>
    <row r="239" spans="1:11">
      <c r="A239" s="5">
        <v>398</v>
      </c>
      <c r="B239" s="5">
        <v>4</v>
      </c>
      <c r="C239" s="5" t="s">
        <v>101</v>
      </c>
      <c r="D239" s="5" t="s">
        <v>1835</v>
      </c>
      <c r="E239" s="5" t="s">
        <v>781</v>
      </c>
      <c r="F239" s="5" t="s">
        <v>782</v>
      </c>
      <c r="G239" s="6" t="s">
        <v>1836</v>
      </c>
      <c r="H239" s="5" t="s">
        <v>1837</v>
      </c>
      <c r="I239" s="5" t="s">
        <v>1838</v>
      </c>
      <c r="J239" s="6" t="s">
        <v>1839</v>
      </c>
      <c r="K239" s="7" t="s">
        <v>1840</v>
      </c>
    </row>
    <row r="240" spans="1:11">
      <c r="A240" s="5">
        <v>399</v>
      </c>
      <c r="B240" s="5">
        <v>4</v>
      </c>
      <c r="C240" s="5" t="s">
        <v>132</v>
      </c>
      <c r="D240" s="5">
        <v>2385</v>
      </c>
      <c r="E240" s="5" t="s">
        <v>799</v>
      </c>
      <c r="F240" s="5" t="s">
        <v>782</v>
      </c>
      <c r="G240" s="6" t="s">
        <v>1841</v>
      </c>
      <c r="H240" s="5" t="s">
        <v>1837</v>
      </c>
      <c r="I240" s="5" t="s">
        <v>1838</v>
      </c>
      <c r="J240" s="6" t="s">
        <v>1842</v>
      </c>
      <c r="K240" s="26" t="s">
        <v>1843</v>
      </c>
    </row>
    <row r="241" spans="1:11">
      <c r="A241" s="5">
        <v>400</v>
      </c>
      <c r="B241" s="5">
        <v>4</v>
      </c>
      <c r="C241" s="5" t="s">
        <v>49</v>
      </c>
      <c r="D241" s="5">
        <v>2359</v>
      </c>
      <c r="E241" s="5" t="s">
        <v>781</v>
      </c>
      <c r="F241" s="5" t="s">
        <v>782</v>
      </c>
      <c r="G241" s="6" t="s">
        <v>1844</v>
      </c>
      <c r="H241" s="5" t="s">
        <v>1845</v>
      </c>
      <c r="I241" s="5" t="s">
        <v>1838</v>
      </c>
      <c r="J241" s="6" t="s">
        <v>1846</v>
      </c>
      <c r="K241" s="7" t="s">
        <v>1847</v>
      </c>
    </row>
    <row r="242" spans="1:11">
      <c r="A242" s="5">
        <v>401</v>
      </c>
      <c r="B242" s="5">
        <v>4</v>
      </c>
      <c r="C242" s="5" t="s">
        <v>141</v>
      </c>
      <c r="D242" s="5">
        <v>2396</v>
      </c>
      <c r="E242" s="5" t="s">
        <v>781</v>
      </c>
      <c r="F242" s="5" t="s">
        <v>782</v>
      </c>
      <c r="G242" s="6" t="s">
        <v>1848</v>
      </c>
      <c r="H242" s="5" t="s">
        <v>1845</v>
      </c>
      <c r="I242" s="5" t="s">
        <v>1838</v>
      </c>
      <c r="J242" s="6" t="s">
        <v>1849</v>
      </c>
      <c r="K242" s="7" t="s">
        <v>1850</v>
      </c>
    </row>
    <row r="243" spans="1:11">
      <c r="A243" s="5">
        <v>402</v>
      </c>
      <c r="B243" s="5">
        <v>4</v>
      </c>
      <c r="C243" s="5" t="s">
        <v>180</v>
      </c>
      <c r="D243" s="5" t="s">
        <v>1851</v>
      </c>
      <c r="E243" s="5" t="s">
        <v>781</v>
      </c>
      <c r="F243" s="5" t="s">
        <v>782</v>
      </c>
      <c r="G243" s="6" t="s">
        <v>1852</v>
      </c>
      <c r="H243" s="5" t="s">
        <v>1845</v>
      </c>
      <c r="I243" s="5" t="s">
        <v>1838</v>
      </c>
      <c r="J243" s="6" t="s">
        <v>1853</v>
      </c>
      <c r="K243" s="7" t="s">
        <v>1854</v>
      </c>
    </row>
    <row r="244" spans="1:11">
      <c r="A244" s="5">
        <v>403</v>
      </c>
      <c r="B244" s="5">
        <v>4</v>
      </c>
      <c r="C244" s="5" t="s">
        <v>79</v>
      </c>
      <c r="D244" s="5">
        <v>2360</v>
      </c>
      <c r="E244" s="5" t="s">
        <v>799</v>
      </c>
      <c r="F244" s="5" t="s">
        <v>782</v>
      </c>
      <c r="G244" s="6" t="s">
        <v>1855</v>
      </c>
      <c r="H244" s="5" t="s">
        <v>1845</v>
      </c>
      <c r="I244" s="5" t="s">
        <v>1838</v>
      </c>
      <c r="J244" s="6" t="s">
        <v>1856</v>
      </c>
      <c r="K244" s="7" t="s">
        <v>1857</v>
      </c>
    </row>
    <row r="245" spans="1:11">
      <c r="A245" s="5">
        <v>404</v>
      </c>
      <c r="B245" s="5">
        <v>4</v>
      </c>
      <c r="C245" s="5" t="s">
        <v>171</v>
      </c>
      <c r="D245" s="5" t="s">
        <v>1858</v>
      </c>
      <c r="E245" s="5" t="s">
        <v>799</v>
      </c>
      <c r="F245" s="5" t="s">
        <v>782</v>
      </c>
      <c r="G245" s="6" t="s">
        <v>1859</v>
      </c>
      <c r="H245" s="5" t="s">
        <v>1845</v>
      </c>
      <c r="I245" s="5" t="s">
        <v>1838</v>
      </c>
      <c r="J245" s="6" t="s">
        <v>1860</v>
      </c>
      <c r="K245" s="7" t="s">
        <v>1861</v>
      </c>
    </row>
    <row r="246" spans="1:11">
      <c r="A246" s="5">
        <v>405</v>
      </c>
      <c r="B246" s="5">
        <v>4</v>
      </c>
      <c r="C246" s="5" t="s">
        <v>321</v>
      </c>
      <c r="D246" s="5">
        <v>2393</v>
      </c>
      <c r="E246" s="5" t="s">
        <v>781</v>
      </c>
      <c r="F246" s="5" t="s">
        <v>782</v>
      </c>
      <c r="G246" s="6" t="s">
        <v>1862</v>
      </c>
      <c r="H246" s="5" t="s">
        <v>1863</v>
      </c>
      <c r="I246" s="5" t="s">
        <v>1838</v>
      </c>
      <c r="J246" s="6" t="s">
        <v>1864</v>
      </c>
      <c r="K246" s="7" t="s">
        <v>1865</v>
      </c>
    </row>
    <row r="247" spans="1:11">
      <c r="A247" s="5">
        <v>406</v>
      </c>
      <c r="B247" s="5">
        <v>4</v>
      </c>
      <c r="C247" s="5" t="s">
        <v>247</v>
      </c>
      <c r="D247" s="5" t="s">
        <v>1866</v>
      </c>
      <c r="E247" s="5" t="s">
        <v>781</v>
      </c>
      <c r="F247" s="5" t="s">
        <v>782</v>
      </c>
      <c r="G247" s="6" t="s">
        <v>1867</v>
      </c>
      <c r="H247" s="5" t="s">
        <v>1863</v>
      </c>
      <c r="I247" s="5" t="s">
        <v>1838</v>
      </c>
      <c r="J247" s="6" t="s">
        <v>1868</v>
      </c>
      <c r="K247" s="7" t="s">
        <v>1869</v>
      </c>
    </row>
    <row r="248" spans="1:11">
      <c r="A248" s="5">
        <v>407</v>
      </c>
      <c r="B248" s="5">
        <v>4</v>
      </c>
      <c r="C248" s="5" t="s">
        <v>244</v>
      </c>
      <c r="D248" s="5" t="s">
        <v>1870</v>
      </c>
      <c r="E248" s="5" t="s">
        <v>781</v>
      </c>
      <c r="F248" s="5" t="s">
        <v>782</v>
      </c>
      <c r="G248" s="6" t="s">
        <v>1871</v>
      </c>
      <c r="H248" s="5" t="s">
        <v>1872</v>
      </c>
      <c r="I248" s="5" t="s">
        <v>1838</v>
      </c>
      <c r="J248" s="6" t="s">
        <v>1873</v>
      </c>
      <c r="K248" s="7" t="s">
        <v>1874</v>
      </c>
    </row>
    <row r="249" spans="1:11">
      <c r="A249" s="5">
        <v>408</v>
      </c>
      <c r="B249" s="5">
        <v>4</v>
      </c>
      <c r="C249" s="5" t="s">
        <v>1875</v>
      </c>
      <c r="D249" s="5" t="s">
        <v>1876</v>
      </c>
      <c r="E249" s="5" t="s">
        <v>799</v>
      </c>
      <c r="F249" s="5" t="s">
        <v>782</v>
      </c>
      <c r="G249" s="6" t="s">
        <v>1877</v>
      </c>
      <c r="H249" s="5" t="s">
        <v>1872</v>
      </c>
      <c r="I249" s="5" t="s">
        <v>1838</v>
      </c>
      <c r="J249" s="6" t="s">
        <v>1878</v>
      </c>
      <c r="K249" s="7" t="s">
        <v>1879</v>
      </c>
    </row>
    <row r="250" spans="1:11">
      <c r="A250" s="5">
        <v>409</v>
      </c>
      <c r="B250" s="5">
        <v>4</v>
      </c>
      <c r="C250" s="5" t="s">
        <v>290</v>
      </c>
      <c r="D250" s="5">
        <v>2376</v>
      </c>
      <c r="E250" s="5" t="s">
        <v>799</v>
      </c>
      <c r="F250" s="5" t="s">
        <v>782</v>
      </c>
      <c r="G250" s="6" t="s">
        <v>1880</v>
      </c>
      <c r="H250" s="5" t="s">
        <v>1872</v>
      </c>
      <c r="I250" s="5" t="s">
        <v>1838</v>
      </c>
      <c r="J250" s="6" t="s">
        <v>1881</v>
      </c>
      <c r="K250" s="7" t="s">
        <v>1882</v>
      </c>
    </row>
    <row r="251" spans="1:11">
      <c r="A251" s="5">
        <v>410</v>
      </c>
      <c r="B251" s="5">
        <v>4</v>
      </c>
      <c r="C251" s="5" t="s">
        <v>97</v>
      </c>
      <c r="D251" s="5" t="s">
        <v>1883</v>
      </c>
      <c r="E251" s="5" t="s">
        <v>781</v>
      </c>
      <c r="F251" s="5" t="s">
        <v>782</v>
      </c>
      <c r="G251" s="6" t="s">
        <v>1884</v>
      </c>
      <c r="H251" s="5" t="s">
        <v>1885</v>
      </c>
      <c r="I251" s="5" t="s">
        <v>1838</v>
      </c>
      <c r="J251" s="6" t="s">
        <v>1886</v>
      </c>
      <c r="K251" s="7" t="s">
        <v>1887</v>
      </c>
    </row>
    <row r="252" spans="1:11">
      <c r="A252" s="5">
        <v>411</v>
      </c>
      <c r="B252" s="5">
        <v>4</v>
      </c>
      <c r="C252" s="5" t="s">
        <v>287</v>
      </c>
      <c r="D252" s="5">
        <v>2371</v>
      </c>
      <c r="E252" s="5" t="s">
        <v>781</v>
      </c>
      <c r="F252" s="5" t="s">
        <v>782</v>
      </c>
      <c r="G252" s="6" t="s">
        <v>1888</v>
      </c>
      <c r="H252" s="5" t="s">
        <v>1885</v>
      </c>
      <c r="I252" s="5" t="s">
        <v>1838</v>
      </c>
      <c r="J252" s="6" t="s">
        <v>1889</v>
      </c>
      <c r="K252" s="7" t="s">
        <v>1890</v>
      </c>
    </row>
    <row r="253" spans="1:11">
      <c r="A253" s="5">
        <v>412</v>
      </c>
      <c r="B253" s="5">
        <v>4</v>
      </c>
      <c r="C253" s="5" t="s">
        <v>40</v>
      </c>
      <c r="D253" s="5">
        <v>2354</v>
      </c>
      <c r="E253" s="5" t="s">
        <v>781</v>
      </c>
      <c r="F253" s="5" t="s">
        <v>821</v>
      </c>
      <c r="G253" s="6" t="s">
        <v>1891</v>
      </c>
      <c r="H253" s="5" t="s">
        <v>1885</v>
      </c>
      <c r="I253" s="5" t="s">
        <v>1838</v>
      </c>
      <c r="J253" s="6" t="s">
        <v>1886</v>
      </c>
      <c r="K253" s="7" t="s">
        <v>1887</v>
      </c>
    </row>
    <row r="254" spans="1:11">
      <c r="A254" s="5">
        <v>413</v>
      </c>
      <c r="B254" s="5">
        <v>4</v>
      </c>
      <c r="C254" s="5" t="s">
        <v>358</v>
      </c>
      <c r="D254" s="5" t="s">
        <v>1892</v>
      </c>
      <c r="E254" s="5" t="s">
        <v>781</v>
      </c>
      <c r="F254" s="5" t="s">
        <v>782</v>
      </c>
      <c r="G254" s="6" t="s">
        <v>1893</v>
      </c>
      <c r="H254" s="5" t="s">
        <v>1885</v>
      </c>
      <c r="I254" s="5" t="s">
        <v>1838</v>
      </c>
      <c r="J254" s="6" t="s">
        <v>1894</v>
      </c>
      <c r="K254" s="7" t="s">
        <v>1895</v>
      </c>
    </row>
    <row r="255" spans="1:11">
      <c r="A255" s="5">
        <v>414</v>
      </c>
      <c r="B255" s="5">
        <v>4</v>
      </c>
      <c r="C255" s="5" t="s">
        <v>265</v>
      </c>
      <c r="D255" s="5" t="s">
        <v>1896</v>
      </c>
      <c r="E255" s="5" t="s">
        <v>781</v>
      </c>
      <c r="F255" s="5" t="s">
        <v>782</v>
      </c>
      <c r="G255" s="6" t="s">
        <v>1897</v>
      </c>
      <c r="H255" s="5" t="s">
        <v>1898</v>
      </c>
      <c r="I255" s="5" t="s">
        <v>1838</v>
      </c>
      <c r="J255" s="6" t="s">
        <v>1899</v>
      </c>
      <c r="K255" s="7" t="s">
        <v>1900</v>
      </c>
    </row>
    <row r="256" spans="1:11">
      <c r="A256" s="5">
        <v>415</v>
      </c>
      <c r="B256" s="5">
        <v>4</v>
      </c>
      <c r="C256" s="5" t="s">
        <v>1901</v>
      </c>
      <c r="D256" s="5" t="s">
        <v>1902</v>
      </c>
      <c r="E256" s="5" t="s">
        <v>781</v>
      </c>
      <c r="F256" s="5" t="s">
        <v>782</v>
      </c>
      <c r="G256" s="6" t="s">
        <v>1903</v>
      </c>
      <c r="H256" s="5" t="s">
        <v>1898</v>
      </c>
      <c r="I256" s="5" t="s">
        <v>1838</v>
      </c>
      <c r="J256" s="6" t="s">
        <v>1904</v>
      </c>
      <c r="K256" s="7" t="s">
        <v>1905</v>
      </c>
    </row>
    <row r="257" spans="1:11">
      <c r="A257" s="5">
        <v>416</v>
      </c>
      <c r="B257" s="5">
        <v>4</v>
      </c>
      <c r="C257" s="5" t="s">
        <v>58</v>
      </c>
      <c r="D257" s="5" t="s">
        <v>1906</v>
      </c>
      <c r="E257" s="5" t="s">
        <v>781</v>
      </c>
      <c r="F257" s="5" t="s">
        <v>782</v>
      </c>
      <c r="G257" s="6" t="s">
        <v>1907</v>
      </c>
      <c r="H257" s="5" t="s">
        <v>1898</v>
      </c>
      <c r="I257" s="5" t="s">
        <v>1838</v>
      </c>
      <c r="J257" s="6" t="s">
        <v>1908</v>
      </c>
      <c r="K257" s="7" t="s">
        <v>1909</v>
      </c>
    </row>
    <row r="258" spans="1:11">
      <c r="A258" s="5">
        <v>417</v>
      </c>
      <c r="B258" s="5">
        <v>4</v>
      </c>
      <c r="C258" s="5" t="s">
        <v>1910</v>
      </c>
      <c r="D258" s="5">
        <v>2381</v>
      </c>
      <c r="E258" s="5" t="s">
        <v>781</v>
      </c>
      <c r="F258" s="5" t="s">
        <v>782</v>
      </c>
      <c r="G258" s="6" t="s">
        <v>1911</v>
      </c>
      <c r="H258" s="5" t="s">
        <v>1898</v>
      </c>
      <c r="I258" s="5" t="s">
        <v>1838</v>
      </c>
      <c r="J258" s="6" t="s">
        <v>1912</v>
      </c>
      <c r="K258" s="7" t="s">
        <v>1913</v>
      </c>
    </row>
    <row r="259" spans="1:11">
      <c r="A259" s="5">
        <v>418</v>
      </c>
      <c r="B259" s="5">
        <v>4</v>
      </c>
      <c r="C259" s="5" t="s">
        <v>174</v>
      </c>
      <c r="D259" s="5" t="s">
        <v>1914</v>
      </c>
      <c r="E259" s="5" t="s">
        <v>799</v>
      </c>
      <c r="F259" s="5" t="s">
        <v>782</v>
      </c>
      <c r="G259" s="6" t="s">
        <v>1915</v>
      </c>
      <c r="H259" s="5" t="s">
        <v>1898</v>
      </c>
      <c r="I259" s="5" t="s">
        <v>1838</v>
      </c>
      <c r="J259" s="6" t="s">
        <v>1916</v>
      </c>
      <c r="K259" s="7" t="s">
        <v>1917</v>
      </c>
    </row>
    <row r="260" spans="1:11">
      <c r="A260" s="5">
        <v>419</v>
      </c>
      <c r="B260" s="5">
        <v>4</v>
      </c>
      <c r="C260" s="5" t="s">
        <v>165</v>
      </c>
      <c r="D260" s="5" t="s">
        <v>1918</v>
      </c>
      <c r="E260" s="5" t="s">
        <v>781</v>
      </c>
      <c r="F260" s="5" t="s">
        <v>782</v>
      </c>
      <c r="G260" s="6" t="s">
        <v>1919</v>
      </c>
      <c r="H260" s="5" t="s">
        <v>1920</v>
      </c>
      <c r="I260" s="5" t="s">
        <v>1838</v>
      </c>
      <c r="J260" s="6" t="s">
        <v>1921</v>
      </c>
      <c r="K260" s="7" t="s">
        <v>1922</v>
      </c>
    </row>
    <row r="261" spans="1:11">
      <c r="A261" s="5">
        <v>420</v>
      </c>
      <c r="B261" s="5">
        <v>4</v>
      </c>
      <c r="C261" s="5" t="s">
        <v>72</v>
      </c>
      <c r="D261" s="5" t="s">
        <v>1923</v>
      </c>
      <c r="E261" s="5" t="s">
        <v>799</v>
      </c>
      <c r="F261" s="5" t="s">
        <v>782</v>
      </c>
      <c r="G261" s="6" t="s">
        <v>1924</v>
      </c>
      <c r="H261" s="5" t="s">
        <v>1920</v>
      </c>
      <c r="I261" s="5" t="s">
        <v>1838</v>
      </c>
      <c r="J261" s="6" t="s">
        <v>1925</v>
      </c>
      <c r="K261" s="7" t="s">
        <v>1926</v>
      </c>
    </row>
    <row r="262" spans="1:11">
      <c r="A262" s="5">
        <v>421</v>
      </c>
      <c r="B262" s="5">
        <v>4</v>
      </c>
      <c r="C262" s="5" t="s">
        <v>156</v>
      </c>
      <c r="D262" s="5" t="s">
        <v>1927</v>
      </c>
      <c r="E262" s="5" t="s">
        <v>799</v>
      </c>
      <c r="F262" s="5" t="s">
        <v>782</v>
      </c>
      <c r="G262" s="6" t="s">
        <v>1928</v>
      </c>
      <c r="H262" s="5" t="s">
        <v>1920</v>
      </c>
      <c r="I262" s="5" t="s">
        <v>1838</v>
      </c>
      <c r="J262" s="6" t="s">
        <v>1929</v>
      </c>
      <c r="K262" s="7" t="s">
        <v>1930</v>
      </c>
    </row>
    <row r="263" spans="1:11">
      <c r="A263" s="5">
        <v>422</v>
      </c>
      <c r="B263" s="5">
        <v>4</v>
      </c>
      <c r="C263" s="5" t="s">
        <v>125</v>
      </c>
      <c r="D263" s="5" t="s">
        <v>1931</v>
      </c>
      <c r="E263" s="5" t="s">
        <v>799</v>
      </c>
      <c r="F263" s="5" t="s">
        <v>821</v>
      </c>
      <c r="G263" s="6" t="s">
        <v>1932</v>
      </c>
      <c r="H263" s="5" t="s">
        <v>1920</v>
      </c>
      <c r="I263" s="5" t="s">
        <v>1838</v>
      </c>
      <c r="J263" s="6" t="s">
        <v>1933</v>
      </c>
      <c r="K263" s="7" t="s">
        <v>1934</v>
      </c>
    </row>
    <row r="264" spans="1:11">
      <c r="A264" s="5">
        <v>423</v>
      </c>
      <c r="B264" s="5">
        <v>4</v>
      </c>
      <c r="C264" s="5" t="s">
        <v>122</v>
      </c>
      <c r="D264" s="5" t="s">
        <v>1935</v>
      </c>
      <c r="E264" s="5" t="s">
        <v>799</v>
      </c>
      <c r="F264" s="5" t="s">
        <v>782</v>
      </c>
      <c r="G264" s="6" t="s">
        <v>1932</v>
      </c>
      <c r="H264" s="5" t="s">
        <v>1920</v>
      </c>
      <c r="I264" s="5" t="s">
        <v>1838</v>
      </c>
      <c r="J264" s="6" t="s">
        <v>1933</v>
      </c>
      <c r="K264" s="7" t="s">
        <v>1934</v>
      </c>
    </row>
    <row r="265" spans="1:11">
      <c r="A265" s="5">
        <v>424</v>
      </c>
      <c r="B265" s="5">
        <v>4</v>
      </c>
      <c r="C265" s="5" t="s">
        <v>299</v>
      </c>
      <c r="D265" s="5">
        <v>2379</v>
      </c>
      <c r="E265" s="5" t="s">
        <v>781</v>
      </c>
      <c r="F265" s="5" t="s">
        <v>782</v>
      </c>
      <c r="G265" s="6" t="s">
        <v>1936</v>
      </c>
      <c r="H265" s="5" t="s">
        <v>1937</v>
      </c>
      <c r="I265" s="5" t="s">
        <v>1838</v>
      </c>
      <c r="J265" s="6" t="s">
        <v>1938</v>
      </c>
      <c r="K265" s="7" t="s">
        <v>1939</v>
      </c>
    </row>
    <row r="266" spans="1:11">
      <c r="A266" s="5">
        <v>425</v>
      </c>
      <c r="B266" s="5">
        <v>4</v>
      </c>
      <c r="C266" s="5" t="s">
        <v>213</v>
      </c>
      <c r="D266" s="5" t="s">
        <v>1940</v>
      </c>
      <c r="E266" s="5" t="s">
        <v>781</v>
      </c>
      <c r="F266" s="5" t="s">
        <v>782</v>
      </c>
      <c r="G266" s="6" t="s">
        <v>1941</v>
      </c>
      <c r="H266" s="5" t="s">
        <v>1937</v>
      </c>
      <c r="I266" s="5" t="s">
        <v>1838</v>
      </c>
      <c r="J266" s="6" t="s">
        <v>1942</v>
      </c>
      <c r="K266" s="7" t="s">
        <v>1943</v>
      </c>
    </row>
    <row r="267" spans="1:11">
      <c r="A267" s="5">
        <v>426</v>
      </c>
      <c r="B267" s="5">
        <v>4</v>
      </c>
      <c r="C267" s="5" t="s">
        <v>227</v>
      </c>
      <c r="D267" s="5" t="s">
        <v>1944</v>
      </c>
      <c r="E267" s="5" t="s">
        <v>781</v>
      </c>
      <c r="F267" s="5" t="s">
        <v>821</v>
      </c>
      <c r="G267" s="6" t="s">
        <v>1945</v>
      </c>
      <c r="H267" s="5" t="s">
        <v>1937</v>
      </c>
      <c r="I267" s="5" t="s">
        <v>1838</v>
      </c>
      <c r="J267" s="6" t="s">
        <v>1938</v>
      </c>
      <c r="K267" s="7" t="s">
        <v>1939</v>
      </c>
    </row>
    <row r="268" spans="1:11">
      <c r="A268" s="5">
        <v>427</v>
      </c>
      <c r="B268" s="5">
        <v>4</v>
      </c>
      <c r="C268" s="5" t="s">
        <v>300</v>
      </c>
      <c r="D268" s="5">
        <v>2380</v>
      </c>
      <c r="E268" s="5" t="s">
        <v>799</v>
      </c>
      <c r="F268" s="5" t="s">
        <v>782</v>
      </c>
      <c r="G268" s="6" t="s">
        <v>1946</v>
      </c>
      <c r="H268" s="5" t="s">
        <v>1937</v>
      </c>
      <c r="I268" s="5" t="s">
        <v>1838</v>
      </c>
      <c r="J268" s="6" t="s">
        <v>1947</v>
      </c>
      <c r="K268" s="7" t="s">
        <v>1948</v>
      </c>
    </row>
    <row r="269" spans="1:11">
      <c r="A269" s="5">
        <v>428</v>
      </c>
      <c r="B269" s="5">
        <v>4</v>
      </c>
      <c r="C269" s="5" t="s">
        <v>309</v>
      </c>
      <c r="D269" s="5">
        <v>2387</v>
      </c>
      <c r="E269" s="5" t="s">
        <v>781</v>
      </c>
      <c r="F269" s="5" t="s">
        <v>782</v>
      </c>
      <c r="G269" s="6" t="s">
        <v>1949</v>
      </c>
      <c r="H269" s="5" t="s">
        <v>1950</v>
      </c>
      <c r="I269" s="5" t="s">
        <v>1838</v>
      </c>
      <c r="J269" s="6" t="s">
        <v>1951</v>
      </c>
      <c r="K269" s="7" t="s">
        <v>1952</v>
      </c>
    </row>
    <row r="270" spans="1:11">
      <c r="A270" s="5">
        <v>429</v>
      </c>
      <c r="B270" s="5">
        <v>4</v>
      </c>
      <c r="C270" s="5" t="s">
        <v>237</v>
      </c>
      <c r="D270" s="5">
        <v>2365</v>
      </c>
      <c r="E270" s="5" t="s">
        <v>799</v>
      </c>
      <c r="F270" s="5" t="s">
        <v>782</v>
      </c>
      <c r="G270" s="6" t="s">
        <v>1953</v>
      </c>
      <c r="H270" s="5" t="s">
        <v>1950</v>
      </c>
      <c r="I270" s="5" t="s">
        <v>1838</v>
      </c>
      <c r="J270" s="6" t="s">
        <v>1954</v>
      </c>
      <c r="K270" s="7" t="s">
        <v>1955</v>
      </c>
    </row>
    <row r="271" spans="1:11">
      <c r="A271" s="5">
        <v>430</v>
      </c>
      <c r="B271" s="5">
        <v>4</v>
      </c>
      <c r="C271" s="5" t="s">
        <v>343</v>
      </c>
      <c r="D271" s="5" t="s">
        <v>1956</v>
      </c>
      <c r="E271" s="5" t="s">
        <v>799</v>
      </c>
      <c r="F271" s="5" t="s">
        <v>782</v>
      </c>
      <c r="G271" s="6" t="s">
        <v>1957</v>
      </c>
      <c r="H271" s="5" t="s">
        <v>1950</v>
      </c>
      <c r="I271" s="5" t="s">
        <v>1838</v>
      </c>
      <c r="J271" s="6" t="s">
        <v>1958</v>
      </c>
      <c r="K271" s="7" t="s">
        <v>1959</v>
      </c>
    </row>
    <row r="272" spans="1:11">
      <c r="A272" s="5">
        <v>431</v>
      </c>
      <c r="B272" s="5">
        <v>4</v>
      </c>
      <c r="C272" s="5" t="s">
        <v>250</v>
      </c>
      <c r="D272" s="5" t="s">
        <v>1960</v>
      </c>
      <c r="E272" s="5" t="s">
        <v>781</v>
      </c>
      <c r="F272" s="5" t="s">
        <v>782</v>
      </c>
      <c r="G272" s="6" t="s">
        <v>1961</v>
      </c>
      <c r="H272" s="5" t="s">
        <v>1962</v>
      </c>
      <c r="I272" s="5" t="s">
        <v>1838</v>
      </c>
      <c r="J272" s="6" t="s">
        <v>1963</v>
      </c>
      <c r="K272" s="7" t="s">
        <v>1964</v>
      </c>
    </row>
    <row r="273" spans="1:11">
      <c r="A273" s="5">
        <v>432</v>
      </c>
      <c r="B273" s="5">
        <v>4</v>
      </c>
      <c r="C273" s="5" t="s">
        <v>293</v>
      </c>
      <c r="D273" s="5">
        <v>2377</v>
      </c>
      <c r="E273" s="5" t="s">
        <v>781</v>
      </c>
      <c r="F273" s="5" t="s">
        <v>782</v>
      </c>
      <c r="G273" s="6" t="s">
        <v>1965</v>
      </c>
      <c r="H273" s="5" t="s">
        <v>1962</v>
      </c>
      <c r="I273" s="5" t="s">
        <v>1838</v>
      </c>
      <c r="J273" s="6" t="s">
        <v>1966</v>
      </c>
      <c r="K273" s="7" t="s">
        <v>1967</v>
      </c>
    </row>
    <row r="274" spans="1:11">
      <c r="A274" s="5">
        <v>433</v>
      </c>
      <c r="B274" s="5">
        <v>4</v>
      </c>
      <c r="C274" s="5" t="s">
        <v>277</v>
      </c>
      <c r="D274" s="5" t="s">
        <v>1968</v>
      </c>
      <c r="E274" s="5" t="s">
        <v>799</v>
      </c>
      <c r="F274" s="5" t="s">
        <v>782</v>
      </c>
      <c r="G274" s="6" t="s">
        <v>1969</v>
      </c>
      <c r="H274" s="5" t="s">
        <v>1962</v>
      </c>
      <c r="I274" s="5" t="s">
        <v>1838</v>
      </c>
      <c r="J274" s="6" t="s">
        <v>1970</v>
      </c>
      <c r="K274" s="7" t="s">
        <v>1971</v>
      </c>
    </row>
    <row r="275" spans="1:11">
      <c r="A275" s="5">
        <v>434</v>
      </c>
      <c r="B275" s="5">
        <v>4</v>
      </c>
      <c r="C275" s="5" t="s">
        <v>64</v>
      </c>
      <c r="D275" s="5" t="s">
        <v>1972</v>
      </c>
      <c r="E275" s="5" t="s">
        <v>781</v>
      </c>
      <c r="F275" s="5" t="s">
        <v>782</v>
      </c>
      <c r="G275" s="6" t="s">
        <v>1973</v>
      </c>
      <c r="H275" s="5" t="s">
        <v>1974</v>
      </c>
      <c r="I275" s="5" t="s">
        <v>1838</v>
      </c>
      <c r="J275" s="6" t="s">
        <v>1975</v>
      </c>
      <c r="K275" s="7" t="s">
        <v>1976</v>
      </c>
    </row>
    <row r="276" spans="1:11">
      <c r="A276" s="5">
        <v>435</v>
      </c>
      <c r="B276" s="5">
        <v>4</v>
      </c>
      <c r="C276" s="5" t="s">
        <v>234</v>
      </c>
      <c r="D276" s="5">
        <v>2362</v>
      </c>
      <c r="E276" s="5" t="s">
        <v>781</v>
      </c>
      <c r="F276" s="5" t="s">
        <v>782</v>
      </c>
      <c r="G276" s="6" t="s">
        <v>1977</v>
      </c>
      <c r="H276" s="5" t="s">
        <v>1974</v>
      </c>
      <c r="I276" s="5" t="s">
        <v>1838</v>
      </c>
      <c r="J276" s="6" t="s">
        <v>1978</v>
      </c>
      <c r="K276" s="7" t="s">
        <v>1979</v>
      </c>
    </row>
    <row r="277" spans="1:11">
      <c r="A277" s="5">
        <v>436</v>
      </c>
      <c r="B277" s="5">
        <v>4</v>
      </c>
      <c r="C277" s="5" t="s">
        <v>259</v>
      </c>
      <c r="D277" s="5" t="s">
        <v>1980</v>
      </c>
      <c r="E277" s="5" t="s">
        <v>781</v>
      </c>
      <c r="F277" s="5" t="s">
        <v>782</v>
      </c>
      <c r="G277" s="6" t="s">
        <v>1981</v>
      </c>
      <c r="H277" s="5" t="s">
        <v>1974</v>
      </c>
      <c r="I277" s="5" t="s">
        <v>1838</v>
      </c>
      <c r="J277" s="6" t="s">
        <v>1982</v>
      </c>
      <c r="K277" s="7" t="s">
        <v>1983</v>
      </c>
    </row>
    <row r="278" spans="1:11">
      <c r="A278" s="5">
        <v>437</v>
      </c>
      <c r="B278" s="5">
        <v>4</v>
      </c>
      <c r="C278" s="5" t="s">
        <v>153</v>
      </c>
      <c r="D278" s="5" t="s">
        <v>1984</v>
      </c>
      <c r="E278" s="5" t="s">
        <v>781</v>
      </c>
      <c r="F278" s="5" t="s">
        <v>782</v>
      </c>
      <c r="G278" s="6" t="s">
        <v>1985</v>
      </c>
      <c r="H278" s="5" t="s">
        <v>1974</v>
      </c>
      <c r="I278" s="5" t="s">
        <v>1838</v>
      </c>
      <c r="J278" s="6" t="s">
        <v>1986</v>
      </c>
      <c r="K278" s="7" t="s">
        <v>1987</v>
      </c>
    </row>
    <row r="279" spans="1:11">
      <c r="A279" s="5">
        <v>438</v>
      </c>
      <c r="B279" s="5">
        <v>4</v>
      </c>
      <c r="C279" s="5" t="s">
        <v>37</v>
      </c>
      <c r="D279" s="5">
        <v>2353</v>
      </c>
      <c r="E279" s="5" t="s">
        <v>781</v>
      </c>
      <c r="F279" s="5" t="s">
        <v>821</v>
      </c>
      <c r="G279" s="6" t="s">
        <v>1988</v>
      </c>
      <c r="H279" s="5" t="s">
        <v>1974</v>
      </c>
      <c r="I279" s="5" t="s">
        <v>1838</v>
      </c>
      <c r="J279" s="6" t="s">
        <v>1975</v>
      </c>
      <c r="K279" s="7" t="s">
        <v>1976</v>
      </c>
    </row>
    <row r="280" spans="1:11">
      <c r="A280" s="5">
        <v>439</v>
      </c>
      <c r="B280" s="5">
        <v>4</v>
      </c>
      <c r="C280" s="5" t="s">
        <v>116</v>
      </c>
      <c r="D280" s="5">
        <v>2374</v>
      </c>
      <c r="E280" s="5" t="s">
        <v>781</v>
      </c>
      <c r="F280" s="5" t="s">
        <v>782</v>
      </c>
      <c r="G280" s="6" t="s">
        <v>1989</v>
      </c>
      <c r="H280" s="5" t="s">
        <v>1990</v>
      </c>
      <c r="I280" s="5" t="s">
        <v>1838</v>
      </c>
      <c r="J280" s="6" t="s">
        <v>1991</v>
      </c>
      <c r="K280" s="7" t="s">
        <v>1992</v>
      </c>
    </row>
    <row r="281" spans="1:11">
      <c r="A281" s="5">
        <v>440</v>
      </c>
      <c r="B281" s="5">
        <v>4</v>
      </c>
      <c r="C281" s="5" t="s">
        <v>94</v>
      </c>
      <c r="D281" s="5" t="s">
        <v>1993</v>
      </c>
      <c r="E281" s="5" t="s">
        <v>799</v>
      </c>
      <c r="F281" s="5" t="s">
        <v>782</v>
      </c>
      <c r="G281" s="6" t="s">
        <v>1994</v>
      </c>
      <c r="H281" s="5" t="s">
        <v>1990</v>
      </c>
      <c r="I281" s="5" t="s">
        <v>1838</v>
      </c>
      <c r="J281" s="6" t="s">
        <v>1995</v>
      </c>
      <c r="K281" s="7" t="s">
        <v>1996</v>
      </c>
    </row>
    <row r="282" spans="1:11">
      <c r="A282" s="5">
        <v>441</v>
      </c>
      <c r="B282" s="5">
        <v>4</v>
      </c>
      <c r="C282" s="5" t="s">
        <v>104</v>
      </c>
      <c r="D282" s="5" t="s">
        <v>1997</v>
      </c>
      <c r="E282" s="5" t="s">
        <v>799</v>
      </c>
      <c r="F282" s="5" t="s">
        <v>782</v>
      </c>
      <c r="G282" s="6" t="s">
        <v>1998</v>
      </c>
      <c r="H282" s="5" t="s">
        <v>1990</v>
      </c>
      <c r="I282" s="5" t="s">
        <v>1838</v>
      </c>
      <c r="J282" s="6" t="s">
        <v>1999</v>
      </c>
      <c r="K282" s="7" t="s">
        <v>2000</v>
      </c>
    </row>
    <row r="283" spans="1:11">
      <c r="A283" s="5">
        <v>442</v>
      </c>
      <c r="B283" s="5">
        <v>4</v>
      </c>
      <c r="C283" s="5" t="s">
        <v>144</v>
      </c>
      <c r="D283" s="5" t="s">
        <v>2001</v>
      </c>
      <c r="E283" s="5" t="s">
        <v>799</v>
      </c>
      <c r="F283" s="5" t="s">
        <v>782</v>
      </c>
      <c r="G283" s="6" t="s">
        <v>2002</v>
      </c>
      <c r="H283" s="5" t="s">
        <v>1990</v>
      </c>
      <c r="I283" s="5" t="s">
        <v>1838</v>
      </c>
      <c r="J283" s="6" t="s">
        <v>2003</v>
      </c>
      <c r="K283" s="7" t="s">
        <v>2004</v>
      </c>
    </row>
    <row r="284" spans="1:11">
      <c r="A284" s="5">
        <v>443</v>
      </c>
      <c r="B284" s="5">
        <v>4</v>
      </c>
      <c r="C284" s="5" t="s">
        <v>231</v>
      </c>
      <c r="D284" s="5">
        <v>2361</v>
      </c>
      <c r="E284" s="5" t="s">
        <v>781</v>
      </c>
      <c r="F284" s="5" t="s">
        <v>782</v>
      </c>
      <c r="G284" s="6" t="s">
        <v>2005</v>
      </c>
      <c r="H284" s="5" t="s">
        <v>2006</v>
      </c>
      <c r="I284" s="5" t="s">
        <v>1838</v>
      </c>
      <c r="J284" s="6" t="s">
        <v>2007</v>
      </c>
      <c r="K284" s="7" t="s">
        <v>2008</v>
      </c>
    </row>
    <row r="285" spans="1:11">
      <c r="A285" s="5">
        <v>444</v>
      </c>
      <c r="B285" s="5">
        <v>4</v>
      </c>
      <c r="C285" s="5" t="s">
        <v>327</v>
      </c>
      <c r="D285" s="5">
        <v>2397</v>
      </c>
      <c r="E285" s="5" t="s">
        <v>799</v>
      </c>
      <c r="F285" s="5" t="s">
        <v>782</v>
      </c>
      <c r="G285" s="6" t="s">
        <v>2009</v>
      </c>
      <c r="H285" s="5" t="s">
        <v>2006</v>
      </c>
      <c r="I285" s="5" t="s">
        <v>1838</v>
      </c>
      <c r="J285" s="6" t="s">
        <v>2010</v>
      </c>
      <c r="K285" s="7" t="s">
        <v>2011</v>
      </c>
    </row>
    <row r="286" spans="1:11">
      <c r="A286" s="5">
        <v>445</v>
      </c>
      <c r="B286" s="5">
        <v>4</v>
      </c>
      <c r="C286" s="5" t="s">
        <v>262</v>
      </c>
      <c r="D286" s="5" t="s">
        <v>2012</v>
      </c>
      <c r="E286" s="5" t="s">
        <v>799</v>
      </c>
      <c r="F286" s="5" t="s">
        <v>782</v>
      </c>
      <c r="G286" s="6" t="s">
        <v>2013</v>
      </c>
      <c r="H286" s="5" t="s">
        <v>2006</v>
      </c>
      <c r="I286" s="5" t="s">
        <v>1838</v>
      </c>
      <c r="J286" s="6" t="s">
        <v>2014</v>
      </c>
      <c r="K286" s="7" t="s">
        <v>2015</v>
      </c>
    </row>
    <row r="287" spans="1:11">
      <c r="A287" s="5">
        <v>446</v>
      </c>
      <c r="B287" s="5">
        <v>4</v>
      </c>
      <c r="C287" s="5" t="s">
        <v>253</v>
      </c>
      <c r="D287" s="5" t="s">
        <v>2016</v>
      </c>
      <c r="E287" s="5" t="s">
        <v>781</v>
      </c>
      <c r="F287" s="5" t="s">
        <v>782</v>
      </c>
      <c r="G287" s="6" t="s">
        <v>2017</v>
      </c>
      <c r="H287" s="5" t="s">
        <v>2018</v>
      </c>
      <c r="I287" s="5" t="s">
        <v>1838</v>
      </c>
      <c r="J287" s="6" t="s">
        <v>2019</v>
      </c>
      <c r="K287" s="7" t="s">
        <v>2020</v>
      </c>
    </row>
    <row r="288" spans="1:11">
      <c r="A288" s="5">
        <v>447</v>
      </c>
      <c r="B288" s="5">
        <v>4</v>
      </c>
      <c r="C288" s="5" t="s">
        <v>243</v>
      </c>
      <c r="D288" s="5" t="s">
        <v>2021</v>
      </c>
      <c r="E288" s="5" t="s">
        <v>781</v>
      </c>
      <c r="F288" s="5" t="s">
        <v>782</v>
      </c>
      <c r="G288" s="6" t="s">
        <v>2022</v>
      </c>
      <c r="H288" s="5" t="s">
        <v>2018</v>
      </c>
      <c r="I288" s="5" t="s">
        <v>1838</v>
      </c>
      <c r="J288" s="6" t="s">
        <v>2023</v>
      </c>
      <c r="K288" s="7" t="s">
        <v>2024</v>
      </c>
    </row>
    <row r="289" spans="1:11">
      <c r="A289" s="5">
        <v>448</v>
      </c>
      <c r="B289" s="5">
        <v>4</v>
      </c>
      <c r="C289" s="5" t="s">
        <v>195</v>
      </c>
      <c r="D289" s="5">
        <v>2357</v>
      </c>
      <c r="E289" s="5" t="s">
        <v>781</v>
      </c>
      <c r="F289" s="5" t="s">
        <v>821</v>
      </c>
      <c r="G289" s="6" t="s">
        <v>2025</v>
      </c>
      <c r="H289" s="5" t="s">
        <v>2018</v>
      </c>
      <c r="I289" s="5" t="s">
        <v>1838</v>
      </c>
      <c r="J289" s="6" t="s">
        <v>2023</v>
      </c>
      <c r="K289" s="7" t="s">
        <v>2024</v>
      </c>
    </row>
    <row r="290" spans="1:11">
      <c r="A290" s="5">
        <v>449</v>
      </c>
      <c r="B290" s="5">
        <v>4</v>
      </c>
      <c r="C290" s="5" t="s">
        <v>274</v>
      </c>
      <c r="D290" s="5" t="s">
        <v>2026</v>
      </c>
      <c r="E290" s="5" t="s">
        <v>799</v>
      </c>
      <c r="F290" s="5" t="s">
        <v>782</v>
      </c>
      <c r="G290" s="6" t="s">
        <v>2027</v>
      </c>
      <c r="H290" s="5" t="s">
        <v>2018</v>
      </c>
      <c r="I290" s="5" t="s">
        <v>1838</v>
      </c>
      <c r="J290" s="6" t="s">
        <v>2028</v>
      </c>
      <c r="K290" s="7" t="s">
        <v>2029</v>
      </c>
    </row>
    <row r="291" spans="1:11">
      <c r="A291" s="5">
        <v>450</v>
      </c>
      <c r="B291" s="5">
        <v>4</v>
      </c>
      <c r="C291" s="5" t="s">
        <v>98</v>
      </c>
      <c r="D291" s="5" t="s">
        <v>2030</v>
      </c>
      <c r="E291" s="5" t="s">
        <v>781</v>
      </c>
      <c r="F291" s="5" t="s">
        <v>782</v>
      </c>
      <c r="G291" s="6" t="s">
        <v>2031</v>
      </c>
      <c r="H291" s="5" t="s">
        <v>2032</v>
      </c>
      <c r="I291" s="5" t="s">
        <v>1838</v>
      </c>
      <c r="J291" s="6" t="s">
        <v>2033</v>
      </c>
      <c r="K291" s="7" t="s">
        <v>2034</v>
      </c>
    </row>
    <row r="292" spans="1:11">
      <c r="A292" s="5">
        <v>451</v>
      </c>
      <c r="B292" s="5">
        <v>4</v>
      </c>
      <c r="C292" s="5" t="s">
        <v>135</v>
      </c>
      <c r="D292" s="5">
        <v>2389</v>
      </c>
      <c r="E292" s="5" t="s">
        <v>781</v>
      </c>
      <c r="F292" s="5" t="s">
        <v>782</v>
      </c>
      <c r="G292" s="6" t="s">
        <v>2035</v>
      </c>
      <c r="H292" s="5" t="s">
        <v>2032</v>
      </c>
      <c r="I292" s="5" t="s">
        <v>1838</v>
      </c>
      <c r="J292" s="6" t="s">
        <v>2036</v>
      </c>
      <c r="K292" s="7" t="s">
        <v>2037</v>
      </c>
    </row>
    <row r="293" spans="1:11">
      <c r="A293" s="5">
        <v>452</v>
      </c>
      <c r="B293" s="5">
        <v>4</v>
      </c>
      <c r="C293" s="5" t="s">
        <v>201</v>
      </c>
      <c r="D293" s="5" t="s">
        <v>2038</v>
      </c>
      <c r="E293" s="5" t="s">
        <v>781</v>
      </c>
      <c r="F293" s="5" t="s">
        <v>782</v>
      </c>
      <c r="G293" s="6" t="s">
        <v>2039</v>
      </c>
      <c r="H293" s="5" t="s">
        <v>2040</v>
      </c>
      <c r="I293" s="5" t="s">
        <v>1838</v>
      </c>
      <c r="J293" s="6" t="s">
        <v>2041</v>
      </c>
      <c r="K293" s="7" t="s">
        <v>2042</v>
      </c>
    </row>
    <row r="294" spans="1:11">
      <c r="A294" s="5">
        <v>453</v>
      </c>
      <c r="B294" s="5">
        <v>4</v>
      </c>
      <c r="C294" s="5" t="s">
        <v>296</v>
      </c>
      <c r="D294" s="5">
        <v>2378</v>
      </c>
      <c r="E294" s="5" t="s">
        <v>781</v>
      </c>
      <c r="F294" s="5" t="s">
        <v>782</v>
      </c>
      <c r="G294" s="6" t="s">
        <v>2043</v>
      </c>
      <c r="H294" s="5" t="s">
        <v>2040</v>
      </c>
      <c r="I294" s="5" t="s">
        <v>1838</v>
      </c>
      <c r="J294" s="6" t="s">
        <v>2044</v>
      </c>
      <c r="K294" s="7" t="s">
        <v>2045</v>
      </c>
    </row>
    <row r="295" spans="1:11">
      <c r="A295" s="5">
        <v>454</v>
      </c>
      <c r="B295" s="5">
        <v>4</v>
      </c>
      <c r="C295" s="5" t="s">
        <v>271</v>
      </c>
      <c r="D295" s="5" t="s">
        <v>2046</v>
      </c>
      <c r="E295" s="5" t="s">
        <v>799</v>
      </c>
      <c r="F295" s="5" t="s">
        <v>782</v>
      </c>
      <c r="G295" s="6" t="s">
        <v>2047</v>
      </c>
      <c r="H295" s="5" t="s">
        <v>2040</v>
      </c>
      <c r="I295" s="5" t="s">
        <v>1838</v>
      </c>
      <c r="J295" s="6" t="s">
        <v>2048</v>
      </c>
      <c r="K295" s="7" t="s">
        <v>2049</v>
      </c>
    </row>
    <row r="296" spans="1:11">
      <c r="A296" s="5">
        <v>455</v>
      </c>
      <c r="B296" s="5">
        <v>4</v>
      </c>
      <c r="C296" s="5" t="s">
        <v>349</v>
      </c>
      <c r="D296" s="5" t="s">
        <v>2050</v>
      </c>
      <c r="E296" s="5" t="s">
        <v>799</v>
      </c>
      <c r="F296" s="5" t="s">
        <v>782</v>
      </c>
      <c r="G296" s="6" t="s">
        <v>2051</v>
      </c>
      <c r="H296" s="5" t="s">
        <v>2040</v>
      </c>
      <c r="I296" s="5" t="s">
        <v>1838</v>
      </c>
      <c r="J296" s="6" t="s">
        <v>2052</v>
      </c>
      <c r="K296" s="26" t="s">
        <v>2053</v>
      </c>
    </row>
    <row r="297" spans="1:11">
      <c r="A297" s="5">
        <v>456</v>
      </c>
      <c r="B297" s="5">
        <v>4</v>
      </c>
      <c r="C297" s="5" t="s">
        <v>334</v>
      </c>
      <c r="D297" s="5" t="s">
        <v>2054</v>
      </c>
      <c r="E297" s="5" t="s">
        <v>781</v>
      </c>
      <c r="F297" s="5" t="s">
        <v>782</v>
      </c>
      <c r="G297" s="6" t="s">
        <v>2055</v>
      </c>
      <c r="H297" s="5" t="s">
        <v>2056</v>
      </c>
      <c r="I297" s="5" t="s">
        <v>1838</v>
      </c>
      <c r="J297" s="6" t="s">
        <v>2057</v>
      </c>
      <c r="K297" s="7" t="s">
        <v>2058</v>
      </c>
    </row>
    <row r="298" spans="1:11">
      <c r="A298" s="5">
        <v>457</v>
      </c>
      <c r="B298" s="5">
        <v>4</v>
      </c>
      <c r="C298" s="5" t="s">
        <v>210</v>
      </c>
      <c r="D298" s="5" t="s">
        <v>2059</v>
      </c>
      <c r="E298" s="5" t="s">
        <v>781</v>
      </c>
      <c r="F298" s="5" t="s">
        <v>782</v>
      </c>
      <c r="G298" s="6" t="s">
        <v>2060</v>
      </c>
      <c r="H298" s="5" t="s">
        <v>2056</v>
      </c>
      <c r="I298" s="5" t="s">
        <v>1838</v>
      </c>
      <c r="J298" s="6" t="s">
        <v>2061</v>
      </c>
      <c r="K298" s="7" t="s">
        <v>2062</v>
      </c>
    </row>
    <row r="299" spans="1:11">
      <c r="A299" s="5">
        <v>458</v>
      </c>
      <c r="B299" s="5">
        <v>4</v>
      </c>
      <c r="C299" s="5" t="s">
        <v>303</v>
      </c>
      <c r="D299" s="5">
        <v>2382</v>
      </c>
      <c r="E299" s="5" t="s">
        <v>781</v>
      </c>
      <c r="F299" s="5" t="s">
        <v>782</v>
      </c>
      <c r="G299" s="6" t="s">
        <v>2063</v>
      </c>
      <c r="H299" s="5" t="s">
        <v>2056</v>
      </c>
      <c r="I299" s="5" t="s">
        <v>1838</v>
      </c>
      <c r="J299" s="6" t="s">
        <v>2064</v>
      </c>
      <c r="K299" s="7" t="s">
        <v>2065</v>
      </c>
    </row>
    <row r="300" spans="1:11">
      <c r="A300" s="5">
        <v>459</v>
      </c>
      <c r="B300" s="5">
        <v>4</v>
      </c>
      <c r="C300" s="5" t="s">
        <v>2066</v>
      </c>
      <c r="D300" s="5">
        <v>2367</v>
      </c>
      <c r="E300" s="5" t="s">
        <v>781</v>
      </c>
      <c r="F300" s="5" t="s">
        <v>782</v>
      </c>
      <c r="G300" s="6" t="s">
        <v>2067</v>
      </c>
      <c r="H300" s="5" t="s">
        <v>2068</v>
      </c>
      <c r="I300" s="5" t="s">
        <v>1838</v>
      </c>
      <c r="J300" s="6" t="s">
        <v>2069</v>
      </c>
      <c r="K300" s="7" t="s">
        <v>2070</v>
      </c>
    </row>
    <row r="301" spans="1:11">
      <c r="A301" s="5">
        <v>460</v>
      </c>
      <c r="B301" s="5">
        <v>4</v>
      </c>
      <c r="C301" s="5" t="s">
        <v>2071</v>
      </c>
      <c r="D301" s="5">
        <v>2399</v>
      </c>
      <c r="E301" s="5" t="s">
        <v>781</v>
      </c>
      <c r="F301" s="5" t="s">
        <v>782</v>
      </c>
      <c r="G301" s="6" t="s">
        <v>2072</v>
      </c>
      <c r="H301" s="5" t="s">
        <v>2068</v>
      </c>
      <c r="I301" s="5" t="s">
        <v>1838</v>
      </c>
      <c r="J301" s="6" t="s">
        <v>2073</v>
      </c>
      <c r="K301" s="7" t="s">
        <v>2074</v>
      </c>
    </row>
    <row r="302" spans="1:11">
      <c r="A302" s="5">
        <v>461</v>
      </c>
      <c r="B302" s="5">
        <v>4</v>
      </c>
      <c r="C302" s="5" t="s">
        <v>315</v>
      </c>
      <c r="D302" s="5">
        <v>2390</v>
      </c>
      <c r="E302" s="5" t="s">
        <v>781</v>
      </c>
      <c r="F302" s="5" t="s">
        <v>782</v>
      </c>
      <c r="G302" s="6" t="s">
        <v>2075</v>
      </c>
      <c r="H302" s="5" t="s">
        <v>2068</v>
      </c>
      <c r="I302" s="5" t="s">
        <v>1838</v>
      </c>
      <c r="J302" s="6" t="s">
        <v>2076</v>
      </c>
      <c r="K302" s="7" t="s">
        <v>2077</v>
      </c>
    </row>
    <row r="303" spans="1:11">
      <c r="A303" s="5">
        <v>462</v>
      </c>
      <c r="B303" s="5">
        <v>4</v>
      </c>
      <c r="C303" s="5" t="s">
        <v>2078</v>
      </c>
      <c r="D303" s="5" t="s">
        <v>2079</v>
      </c>
      <c r="E303" s="5" t="s">
        <v>781</v>
      </c>
      <c r="F303" s="5" t="s">
        <v>821</v>
      </c>
      <c r="G303" s="6" t="s">
        <v>2080</v>
      </c>
      <c r="H303" s="5" t="s">
        <v>2068</v>
      </c>
      <c r="I303" s="5" t="s">
        <v>1838</v>
      </c>
      <c r="J303" s="6" t="s">
        <v>2076</v>
      </c>
      <c r="K303" s="7" t="s">
        <v>2077</v>
      </c>
    </row>
    <row r="304" spans="1:11">
      <c r="A304" s="5">
        <v>463</v>
      </c>
      <c r="B304" s="5">
        <v>4</v>
      </c>
      <c r="C304" s="5" t="s">
        <v>280</v>
      </c>
      <c r="D304" s="5" t="s">
        <v>2081</v>
      </c>
      <c r="E304" s="8" t="s">
        <v>793</v>
      </c>
      <c r="F304" s="5" t="s">
        <v>782</v>
      </c>
      <c r="G304" s="6" t="s">
        <v>2082</v>
      </c>
      <c r="H304" s="5" t="s">
        <v>2068</v>
      </c>
      <c r="I304" s="5" t="s">
        <v>1838</v>
      </c>
      <c r="J304" s="6" t="s">
        <v>2083</v>
      </c>
      <c r="K304" s="26" t="s">
        <v>2084</v>
      </c>
    </row>
    <row r="305" spans="1:11">
      <c r="A305" s="5">
        <v>464</v>
      </c>
      <c r="B305" s="5">
        <v>4</v>
      </c>
      <c r="C305" s="5" t="s">
        <v>110</v>
      </c>
      <c r="D305" s="5">
        <v>2372</v>
      </c>
      <c r="E305" s="5" t="s">
        <v>781</v>
      </c>
      <c r="F305" s="5" t="s">
        <v>782</v>
      </c>
      <c r="G305" s="6" t="s">
        <v>2085</v>
      </c>
      <c r="H305" s="5" t="s">
        <v>2086</v>
      </c>
      <c r="I305" s="5" t="s">
        <v>1838</v>
      </c>
      <c r="J305" s="6" t="s">
        <v>2087</v>
      </c>
      <c r="K305" s="7" t="s">
        <v>2088</v>
      </c>
    </row>
    <row r="306" spans="1:11">
      <c r="A306" s="5">
        <v>465</v>
      </c>
      <c r="B306" s="5">
        <v>4</v>
      </c>
      <c r="C306" s="5" t="s">
        <v>168</v>
      </c>
      <c r="D306" s="5" t="s">
        <v>2089</v>
      </c>
      <c r="E306" s="5" t="s">
        <v>781</v>
      </c>
      <c r="F306" s="5" t="s">
        <v>782</v>
      </c>
      <c r="G306" s="6" t="s">
        <v>2090</v>
      </c>
      <c r="H306" s="5" t="s">
        <v>2086</v>
      </c>
      <c r="I306" s="5" t="s">
        <v>1838</v>
      </c>
      <c r="J306" s="6" t="s">
        <v>2091</v>
      </c>
      <c r="K306" s="7" t="s">
        <v>2092</v>
      </c>
    </row>
    <row r="307" spans="1:11">
      <c r="A307" s="5">
        <v>466</v>
      </c>
      <c r="B307" s="5">
        <v>4</v>
      </c>
      <c r="C307" s="5" t="s">
        <v>119</v>
      </c>
      <c r="D307" s="5">
        <v>2375</v>
      </c>
      <c r="E307" s="5" t="s">
        <v>781</v>
      </c>
      <c r="F307" s="5" t="s">
        <v>782</v>
      </c>
      <c r="G307" s="6" t="s">
        <v>2093</v>
      </c>
      <c r="H307" s="5" t="s">
        <v>2094</v>
      </c>
      <c r="I307" s="5" t="s">
        <v>1838</v>
      </c>
      <c r="J307" s="6" t="s">
        <v>2095</v>
      </c>
      <c r="K307" s="7" t="s">
        <v>2096</v>
      </c>
    </row>
    <row r="308" spans="1:11">
      <c r="A308" s="5">
        <v>467</v>
      </c>
      <c r="B308" s="5">
        <v>4</v>
      </c>
      <c r="C308" s="5" t="s">
        <v>159</v>
      </c>
      <c r="D308" s="5" t="s">
        <v>2097</v>
      </c>
      <c r="E308" s="5" t="s">
        <v>799</v>
      </c>
      <c r="F308" s="5" t="s">
        <v>782</v>
      </c>
      <c r="G308" s="6" t="s">
        <v>2098</v>
      </c>
      <c r="H308" s="5" t="s">
        <v>2094</v>
      </c>
      <c r="I308" s="5" t="s">
        <v>1838</v>
      </c>
      <c r="J308" s="6" t="s">
        <v>2099</v>
      </c>
      <c r="K308" s="7" t="s">
        <v>2100</v>
      </c>
    </row>
    <row r="309" spans="1:11">
      <c r="A309" s="5">
        <v>468</v>
      </c>
      <c r="B309" s="5">
        <v>4</v>
      </c>
      <c r="C309" s="5" t="s">
        <v>217</v>
      </c>
      <c r="D309" s="5" t="s">
        <v>2101</v>
      </c>
      <c r="E309" s="5" t="s">
        <v>781</v>
      </c>
      <c r="F309" s="5" t="s">
        <v>782</v>
      </c>
      <c r="G309" s="6" t="s">
        <v>2102</v>
      </c>
      <c r="H309" s="5" t="s">
        <v>2103</v>
      </c>
      <c r="I309" s="5" t="s">
        <v>1838</v>
      </c>
      <c r="J309" s="6" t="s">
        <v>2104</v>
      </c>
      <c r="K309" s="7" t="s">
        <v>2105</v>
      </c>
    </row>
    <row r="310" spans="1:11">
      <c r="A310" s="5">
        <v>469</v>
      </c>
      <c r="B310" s="5">
        <v>4</v>
      </c>
      <c r="C310" s="5" t="s">
        <v>346</v>
      </c>
      <c r="D310" s="5" t="s">
        <v>2106</v>
      </c>
      <c r="E310" s="5" t="s">
        <v>799</v>
      </c>
      <c r="F310" s="5" t="s">
        <v>782</v>
      </c>
      <c r="G310" s="6" t="s">
        <v>2107</v>
      </c>
      <c r="H310" s="5" t="s">
        <v>2103</v>
      </c>
      <c r="I310" s="5" t="s">
        <v>1838</v>
      </c>
      <c r="J310" s="6" t="s">
        <v>2108</v>
      </c>
      <c r="K310" s="7" t="s">
        <v>2109</v>
      </c>
    </row>
    <row r="311" spans="1:11">
      <c r="A311" s="5">
        <v>470</v>
      </c>
      <c r="B311" s="5">
        <v>4</v>
      </c>
      <c r="C311" s="5" t="s">
        <v>230</v>
      </c>
      <c r="D311" s="5" t="s">
        <v>2110</v>
      </c>
      <c r="E311" s="5" t="s">
        <v>781</v>
      </c>
      <c r="F311" s="5" t="s">
        <v>782</v>
      </c>
      <c r="G311" s="6" t="s">
        <v>2111</v>
      </c>
      <c r="H311" s="5" t="s">
        <v>2112</v>
      </c>
      <c r="I311" s="5" t="s">
        <v>1838</v>
      </c>
      <c r="J311" s="6" t="s">
        <v>2113</v>
      </c>
      <c r="K311" s="7" t="s">
        <v>2114</v>
      </c>
    </row>
    <row r="312" spans="1:11">
      <c r="A312" s="5">
        <v>471</v>
      </c>
      <c r="B312" s="5">
        <v>4</v>
      </c>
      <c r="C312" s="5" t="s">
        <v>240</v>
      </c>
      <c r="D312" s="5">
        <v>2366</v>
      </c>
      <c r="E312" s="5" t="s">
        <v>781</v>
      </c>
      <c r="F312" s="5" t="s">
        <v>782</v>
      </c>
      <c r="G312" s="6" t="s">
        <v>2115</v>
      </c>
      <c r="H312" s="5" t="s">
        <v>2112</v>
      </c>
      <c r="I312" s="5" t="s">
        <v>1838</v>
      </c>
      <c r="J312" s="6" t="s">
        <v>2116</v>
      </c>
      <c r="K312" s="7" t="s">
        <v>2117</v>
      </c>
    </row>
    <row r="313" spans="1:11">
      <c r="A313" s="5">
        <v>472</v>
      </c>
      <c r="B313" s="5">
        <v>4</v>
      </c>
      <c r="C313" s="5" t="s">
        <v>186</v>
      </c>
      <c r="D313" s="5">
        <v>2351</v>
      </c>
      <c r="E313" s="5" t="s">
        <v>781</v>
      </c>
      <c r="F313" s="5" t="s">
        <v>821</v>
      </c>
      <c r="G313" s="6" t="s">
        <v>2118</v>
      </c>
      <c r="H313" s="5" t="s">
        <v>2112</v>
      </c>
      <c r="I313" s="5" t="s">
        <v>1838</v>
      </c>
      <c r="J313" s="6" t="s">
        <v>2113</v>
      </c>
      <c r="K313" s="7" t="s">
        <v>2114</v>
      </c>
    </row>
    <row r="314" spans="1:11">
      <c r="A314" s="5">
        <v>473</v>
      </c>
      <c r="B314" s="5">
        <v>4</v>
      </c>
      <c r="C314" s="5" t="s">
        <v>340</v>
      </c>
      <c r="D314" s="5" t="s">
        <v>2119</v>
      </c>
      <c r="E314" s="5" t="s">
        <v>799</v>
      </c>
      <c r="F314" s="5" t="s">
        <v>782</v>
      </c>
      <c r="G314" s="6" t="s">
        <v>2120</v>
      </c>
      <c r="H314" s="5" t="s">
        <v>2112</v>
      </c>
      <c r="I314" s="5" t="s">
        <v>1838</v>
      </c>
      <c r="J314" s="6" t="s">
        <v>2121</v>
      </c>
      <c r="K314" s="7" t="s">
        <v>2122</v>
      </c>
    </row>
    <row r="315" spans="1:11">
      <c r="A315" s="5">
        <v>474</v>
      </c>
      <c r="B315" s="5">
        <v>4</v>
      </c>
      <c r="C315" s="5" t="s">
        <v>107</v>
      </c>
      <c r="D315" s="5">
        <v>2370</v>
      </c>
      <c r="E315" s="5" t="s">
        <v>781</v>
      </c>
      <c r="F315" s="5" t="s">
        <v>782</v>
      </c>
      <c r="G315" s="6" t="s">
        <v>2123</v>
      </c>
      <c r="H315" s="5" t="s">
        <v>2124</v>
      </c>
      <c r="I315" s="9" t="s">
        <v>1838</v>
      </c>
      <c r="J315" s="6" t="s">
        <v>2125</v>
      </c>
      <c r="K315" s="7" t="s">
        <v>2126</v>
      </c>
    </row>
    <row r="316" spans="1:11">
      <c r="A316" s="5">
        <v>475</v>
      </c>
      <c r="B316" s="5">
        <v>4</v>
      </c>
      <c r="C316" s="5" t="s">
        <v>324</v>
      </c>
      <c r="D316" s="5">
        <v>2394</v>
      </c>
      <c r="E316" s="5" t="s">
        <v>781</v>
      </c>
      <c r="F316" s="5" t="s">
        <v>782</v>
      </c>
      <c r="G316" s="6" t="s">
        <v>2127</v>
      </c>
      <c r="H316" s="5" t="s">
        <v>2124</v>
      </c>
      <c r="I316" s="9" t="s">
        <v>1838</v>
      </c>
      <c r="J316" s="6" t="s">
        <v>2128</v>
      </c>
      <c r="K316" s="7" t="s">
        <v>2129</v>
      </c>
    </row>
    <row r="317" spans="1:11">
      <c r="A317" s="5">
        <v>476</v>
      </c>
      <c r="B317" s="9">
        <v>4</v>
      </c>
      <c r="C317" s="5" t="s">
        <v>364</v>
      </c>
      <c r="D317" s="5" t="s">
        <v>2130</v>
      </c>
      <c r="E317" s="9" t="s">
        <v>799</v>
      </c>
      <c r="F317" s="9" t="s">
        <v>782</v>
      </c>
      <c r="G317" s="7" t="s">
        <v>2131</v>
      </c>
      <c r="H317" s="9" t="s">
        <v>2124</v>
      </c>
      <c r="I317" s="9" t="s">
        <v>1838</v>
      </c>
      <c r="J317" s="7" t="s">
        <v>2132</v>
      </c>
      <c r="K317" s="26" t="s">
        <v>2133</v>
      </c>
    </row>
    <row r="318" spans="1:11">
      <c r="A318" s="5">
        <v>477</v>
      </c>
      <c r="B318" s="5">
        <v>4</v>
      </c>
      <c r="C318" s="5" t="s">
        <v>355</v>
      </c>
      <c r="D318" s="5" t="s">
        <v>2134</v>
      </c>
      <c r="E318" s="5" t="s">
        <v>799</v>
      </c>
      <c r="F318" s="9" t="s">
        <v>782</v>
      </c>
      <c r="G318" s="6" t="s">
        <v>2135</v>
      </c>
      <c r="H318" s="5" t="s">
        <v>2124</v>
      </c>
      <c r="I318" s="5" t="s">
        <v>1838</v>
      </c>
      <c r="J318" s="6" t="s">
        <v>2136</v>
      </c>
      <c r="K318" s="7" t="s">
        <v>2137</v>
      </c>
    </row>
    <row r="319" spans="1:11">
      <c r="A319" s="5">
        <v>478</v>
      </c>
      <c r="B319" s="5">
        <v>4</v>
      </c>
      <c r="C319" s="5" t="s">
        <v>82</v>
      </c>
      <c r="D319" s="5">
        <v>2363</v>
      </c>
      <c r="E319" s="5" t="s">
        <v>781</v>
      </c>
      <c r="F319" s="5" t="s">
        <v>782</v>
      </c>
      <c r="G319" s="6" t="s">
        <v>2138</v>
      </c>
      <c r="H319" s="5" t="s">
        <v>2139</v>
      </c>
      <c r="I319" s="5" t="s">
        <v>1838</v>
      </c>
      <c r="J319" s="6" t="s">
        <v>2140</v>
      </c>
      <c r="K319" s="7" t="s">
        <v>2141</v>
      </c>
    </row>
    <row r="320" spans="1:11">
      <c r="A320" s="5">
        <v>479</v>
      </c>
      <c r="B320" s="5">
        <v>4</v>
      </c>
      <c r="C320" s="5" t="s">
        <v>318</v>
      </c>
      <c r="D320" s="5">
        <v>2392</v>
      </c>
      <c r="E320" s="5" t="s">
        <v>781</v>
      </c>
      <c r="F320" s="5" t="s">
        <v>782</v>
      </c>
      <c r="G320" s="6" t="s">
        <v>2142</v>
      </c>
      <c r="H320" s="5" t="s">
        <v>2139</v>
      </c>
      <c r="I320" s="5" t="s">
        <v>1838</v>
      </c>
      <c r="J320" s="6" t="s">
        <v>2143</v>
      </c>
      <c r="K320" s="7" t="s">
        <v>2144</v>
      </c>
    </row>
    <row r="321" spans="1:11">
      <c r="A321" s="5">
        <v>480</v>
      </c>
      <c r="B321" s="5">
        <v>4</v>
      </c>
      <c r="C321" s="5" t="s">
        <v>352</v>
      </c>
      <c r="D321" s="5" t="s">
        <v>2145</v>
      </c>
      <c r="E321" s="5" t="s">
        <v>781</v>
      </c>
      <c r="F321" s="5" t="s">
        <v>782</v>
      </c>
      <c r="G321" s="6" t="s">
        <v>2146</v>
      </c>
      <c r="H321" s="5" t="s">
        <v>2139</v>
      </c>
      <c r="I321" s="5" t="s">
        <v>1838</v>
      </c>
      <c r="J321" s="6" t="s">
        <v>2147</v>
      </c>
      <c r="K321" s="7" t="s">
        <v>2148</v>
      </c>
    </row>
    <row r="322" spans="1:11">
      <c r="A322" s="5">
        <v>481</v>
      </c>
      <c r="B322" s="5">
        <v>4</v>
      </c>
      <c r="C322" s="5" t="s">
        <v>2149</v>
      </c>
      <c r="D322" s="5">
        <v>2391</v>
      </c>
      <c r="E322" s="5" t="s">
        <v>781</v>
      </c>
      <c r="F322" s="5" t="s">
        <v>782</v>
      </c>
      <c r="G322" s="6" t="s">
        <v>2150</v>
      </c>
      <c r="H322" s="5" t="s">
        <v>2151</v>
      </c>
      <c r="I322" s="5" t="s">
        <v>1838</v>
      </c>
      <c r="J322" s="6" t="s">
        <v>2152</v>
      </c>
      <c r="K322" s="7" t="s">
        <v>2153</v>
      </c>
    </row>
    <row r="323" spans="1:11">
      <c r="A323" s="5">
        <v>482</v>
      </c>
      <c r="B323" s="5">
        <v>4</v>
      </c>
      <c r="C323" s="5" t="s">
        <v>226</v>
      </c>
      <c r="D323" s="5" t="s">
        <v>2154</v>
      </c>
      <c r="E323" s="5" t="s">
        <v>781</v>
      </c>
      <c r="F323" s="5" t="s">
        <v>782</v>
      </c>
      <c r="G323" s="6" t="s">
        <v>2155</v>
      </c>
      <c r="H323" s="5" t="s">
        <v>2151</v>
      </c>
      <c r="I323" s="5" t="s">
        <v>1838</v>
      </c>
      <c r="J323" s="6" t="s">
        <v>2156</v>
      </c>
      <c r="K323" s="7" t="s">
        <v>2157</v>
      </c>
    </row>
    <row r="324" spans="1:11">
      <c r="A324" s="5">
        <v>483</v>
      </c>
      <c r="B324" s="5">
        <v>4</v>
      </c>
      <c r="C324" s="5" t="s">
        <v>2158</v>
      </c>
      <c r="D324" s="5" t="s">
        <v>2159</v>
      </c>
      <c r="E324" s="5" t="s">
        <v>781</v>
      </c>
      <c r="F324" s="5" t="s">
        <v>782</v>
      </c>
      <c r="G324" s="6" t="s">
        <v>2160</v>
      </c>
      <c r="H324" s="5" t="s">
        <v>2151</v>
      </c>
      <c r="I324" s="5" t="s">
        <v>1838</v>
      </c>
      <c r="J324" s="6" t="s">
        <v>2161</v>
      </c>
      <c r="K324" s="7" t="s">
        <v>2162</v>
      </c>
    </row>
    <row r="325" spans="1:11">
      <c r="A325" s="5">
        <v>484</v>
      </c>
      <c r="B325" s="5">
        <v>4</v>
      </c>
      <c r="C325" s="5" t="s">
        <v>189</v>
      </c>
      <c r="D325" s="5">
        <v>2352</v>
      </c>
      <c r="E325" s="5" t="s">
        <v>781</v>
      </c>
      <c r="F325" s="5" t="s">
        <v>821</v>
      </c>
      <c r="G325" s="6" t="s">
        <v>2163</v>
      </c>
      <c r="H325" s="5" t="s">
        <v>2151</v>
      </c>
      <c r="I325" s="5" t="s">
        <v>1838</v>
      </c>
      <c r="J325" s="6" t="s">
        <v>2156</v>
      </c>
      <c r="K325" s="7" t="s">
        <v>2157</v>
      </c>
    </row>
    <row r="326" spans="1:11">
      <c r="A326" s="5">
        <v>485</v>
      </c>
      <c r="B326" s="5">
        <v>4</v>
      </c>
      <c r="C326" s="5" t="s">
        <v>306</v>
      </c>
      <c r="D326" s="5">
        <v>2386</v>
      </c>
      <c r="E326" s="5" t="s">
        <v>799</v>
      </c>
      <c r="F326" s="5" t="s">
        <v>782</v>
      </c>
      <c r="G326" s="6" t="s">
        <v>2164</v>
      </c>
      <c r="H326" s="5" t="s">
        <v>2151</v>
      </c>
      <c r="I326" s="5" t="s">
        <v>1838</v>
      </c>
      <c r="J326" s="6" t="s">
        <v>2165</v>
      </c>
      <c r="K326" s="7" t="s">
        <v>2166</v>
      </c>
    </row>
    <row r="327" spans="1:11">
      <c r="A327" s="5">
        <v>486</v>
      </c>
      <c r="B327" s="5">
        <v>4</v>
      </c>
      <c r="C327" s="5" t="s">
        <v>268</v>
      </c>
      <c r="D327" s="5" t="s">
        <v>2167</v>
      </c>
      <c r="E327" s="5" t="s">
        <v>781</v>
      </c>
      <c r="F327" s="5" t="s">
        <v>782</v>
      </c>
      <c r="G327" s="6" t="s">
        <v>2168</v>
      </c>
      <c r="H327" s="5" t="s">
        <v>2151</v>
      </c>
      <c r="I327" s="5" t="s">
        <v>1838</v>
      </c>
      <c r="J327" s="6" t="s">
        <v>2169</v>
      </c>
      <c r="K327" s="7" t="s">
        <v>2170</v>
      </c>
    </row>
    <row r="328" spans="1:11">
      <c r="A328" s="5">
        <v>487</v>
      </c>
      <c r="B328" s="5">
        <v>4</v>
      </c>
      <c r="C328" s="5" t="s">
        <v>113</v>
      </c>
      <c r="D328" s="5">
        <v>2373</v>
      </c>
      <c r="E328" s="5" t="s">
        <v>781</v>
      </c>
      <c r="F328" s="5" t="s">
        <v>782</v>
      </c>
      <c r="G328" s="6" t="s">
        <v>2171</v>
      </c>
      <c r="H328" s="5" t="s">
        <v>2172</v>
      </c>
      <c r="I328" s="5" t="s">
        <v>1838</v>
      </c>
      <c r="J328" s="6" t="s">
        <v>2173</v>
      </c>
      <c r="K328" s="7" t="s">
        <v>2174</v>
      </c>
    </row>
    <row r="329" spans="1:11">
      <c r="A329" s="5">
        <v>488</v>
      </c>
      <c r="B329" s="5">
        <v>4</v>
      </c>
      <c r="C329" s="5" t="s">
        <v>147</v>
      </c>
      <c r="D329" s="5" t="s">
        <v>2175</v>
      </c>
      <c r="E329" s="5" t="s">
        <v>781</v>
      </c>
      <c r="F329" s="5" t="s">
        <v>782</v>
      </c>
      <c r="G329" s="6" t="s">
        <v>2176</v>
      </c>
      <c r="H329" s="5" t="s">
        <v>2172</v>
      </c>
      <c r="I329" s="5" t="s">
        <v>1838</v>
      </c>
      <c r="J329" s="6" t="s">
        <v>2177</v>
      </c>
      <c r="K329" s="7" t="s">
        <v>2178</v>
      </c>
    </row>
    <row r="330" spans="1:11">
      <c r="A330" s="5">
        <v>489</v>
      </c>
      <c r="B330" s="5">
        <v>4</v>
      </c>
      <c r="C330" s="5" t="s">
        <v>55</v>
      </c>
      <c r="D330" s="5" t="s">
        <v>2179</v>
      </c>
      <c r="E330" s="5" t="s">
        <v>781</v>
      </c>
      <c r="F330" s="5" t="s">
        <v>782</v>
      </c>
      <c r="G330" s="6" t="s">
        <v>2180</v>
      </c>
      <c r="H330" s="5" t="s">
        <v>2181</v>
      </c>
      <c r="I330" s="5" t="s">
        <v>1838</v>
      </c>
      <c r="J330" s="6" t="s">
        <v>2182</v>
      </c>
      <c r="K330" s="7" t="s">
        <v>2183</v>
      </c>
    </row>
    <row r="331" spans="1:11">
      <c r="A331" s="5">
        <v>490</v>
      </c>
      <c r="B331" s="5">
        <v>4</v>
      </c>
      <c r="C331" s="5" t="s">
        <v>337</v>
      </c>
      <c r="D331" s="5" t="s">
        <v>2184</v>
      </c>
      <c r="E331" s="5" t="s">
        <v>799</v>
      </c>
      <c r="F331" s="5" t="s">
        <v>782</v>
      </c>
      <c r="G331" s="6" t="s">
        <v>2185</v>
      </c>
      <c r="H331" s="5" t="s">
        <v>2181</v>
      </c>
      <c r="I331" s="5" t="s">
        <v>1838</v>
      </c>
      <c r="J331" s="6" t="s">
        <v>2186</v>
      </c>
      <c r="K331" s="7" t="s">
        <v>2187</v>
      </c>
    </row>
    <row r="332" spans="1:11">
      <c r="A332" s="5">
        <v>491</v>
      </c>
      <c r="B332" s="5">
        <v>4</v>
      </c>
      <c r="C332" s="5" t="s">
        <v>126</v>
      </c>
      <c r="D332" s="5">
        <v>2383</v>
      </c>
      <c r="E332" s="5" t="s">
        <v>781</v>
      </c>
      <c r="F332" s="5" t="s">
        <v>782</v>
      </c>
      <c r="G332" s="6" t="s">
        <v>2188</v>
      </c>
      <c r="H332" s="5" t="s">
        <v>2189</v>
      </c>
      <c r="I332" s="5" t="s">
        <v>1838</v>
      </c>
      <c r="J332" s="6" t="s">
        <v>2190</v>
      </c>
      <c r="K332" s="7" t="s">
        <v>2191</v>
      </c>
    </row>
    <row r="333" spans="1:11">
      <c r="A333" s="5">
        <v>492</v>
      </c>
      <c r="B333" s="5">
        <v>4</v>
      </c>
      <c r="C333" s="5" t="s">
        <v>177</v>
      </c>
      <c r="D333" s="5" t="s">
        <v>2192</v>
      </c>
      <c r="E333" s="5" t="s">
        <v>799</v>
      </c>
      <c r="F333" s="5" t="s">
        <v>782</v>
      </c>
      <c r="G333" s="6" t="s">
        <v>2193</v>
      </c>
      <c r="H333" s="5" t="s">
        <v>2189</v>
      </c>
      <c r="I333" s="5" t="s">
        <v>1838</v>
      </c>
      <c r="J333" s="6" t="s">
        <v>2194</v>
      </c>
      <c r="K333" s="7" t="s">
        <v>2195</v>
      </c>
    </row>
    <row r="334" spans="1:11">
      <c r="A334" s="5">
        <v>493</v>
      </c>
      <c r="B334" s="5">
        <v>4</v>
      </c>
      <c r="C334" s="5" t="s">
        <v>198</v>
      </c>
      <c r="D334" s="5" t="s">
        <v>2196</v>
      </c>
      <c r="E334" s="5" t="s">
        <v>781</v>
      </c>
      <c r="F334" s="5" t="s">
        <v>782</v>
      </c>
      <c r="G334" s="6" t="s">
        <v>2197</v>
      </c>
      <c r="H334" s="5" t="s">
        <v>2198</v>
      </c>
      <c r="I334" s="5" t="s">
        <v>1838</v>
      </c>
      <c r="J334" s="6" t="s">
        <v>2199</v>
      </c>
      <c r="K334" s="7" t="s">
        <v>2200</v>
      </c>
    </row>
    <row r="335" spans="1:11">
      <c r="A335" s="5">
        <v>494</v>
      </c>
      <c r="B335" s="5">
        <v>4</v>
      </c>
      <c r="C335" s="5" t="s">
        <v>207</v>
      </c>
      <c r="D335" s="5" t="s">
        <v>2201</v>
      </c>
      <c r="E335" s="5" t="s">
        <v>799</v>
      </c>
      <c r="F335" s="5" t="s">
        <v>782</v>
      </c>
      <c r="G335" s="6" t="s">
        <v>2202</v>
      </c>
      <c r="H335" s="5" t="s">
        <v>2203</v>
      </c>
      <c r="I335" s="5" t="s">
        <v>1838</v>
      </c>
      <c r="J335" s="6" t="s">
        <v>2204</v>
      </c>
      <c r="K335" s="7" t="s">
        <v>2205</v>
      </c>
    </row>
    <row r="336" spans="1:11">
      <c r="A336" s="5">
        <v>495</v>
      </c>
      <c r="B336" s="5">
        <v>4</v>
      </c>
      <c r="C336" s="5" t="s">
        <v>220</v>
      </c>
      <c r="D336" s="5" t="s">
        <v>2206</v>
      </c>
      <c r="E336" s="5" t="s">
        <v>799</v>
      </c>
      <c r="F336" s="5" t="s">
        <v>782</v>
      </c>
      <c r="G336" s="6" t="s">
        <v>2207</v>
      </c>
      <c r="H336" s="5" t="s">
        <v>2203</v>
      </c>
      <c r="I336" s="5" t="s">
        <v>1838</v>
      </c>
      <c r="J336" s="6" t="s">
        <v>2208</v>
      </c>
      <c r="K336" s="7" t="s">
        <v>2209</v>
      </c>
    </row>
    <row r="337" spans="1:11">
      <c r="A337" s="5">
        <v>496</v>
      </c>
      <c r="B337" s="5">
        <v>4</v>
      </c>
      <c r="C337" s="5" t="s">
        <v>333</v>
      </c>
      <c r="D337" s="5" t="s">
        <v>2210</v>
      </c>
      <c r="E337" s="5" t="s">
        <v>781</v>
      </c>
      <c r="F337" s="5" t="s">
        <v>782</v>
      </c>
      <c r="G337" s="6" t="s">
        <v>2211</v>
      </c>
      <c r="H337" s="5" t="s">
        <v>1937</v>
      </c>
      <c r="I337" s="5" t="s">
        <v>1838</v>
      </c>
      <c r="J337" s="6" t="s">
        <v>2212</v>
      </c>
      <c r="K337" s="7" t="s">
        <v>2213</v>
      </c>
    </row>
    <row r="338" spans="1:11">
      <c r="A338" s="5">
        <v>497</v>
      </c>
      <c r="B338" s="5">
        <v>4</v>
      </c>
      <c r="C338" s="5" t="s">
        <v>312</v>
      </c>
      <c r="D338" s="5">
        <v>2388</v>
      </c>
      <c r="E338" s="5" t="s">
        <v>781</v>
      </c>
      <c r="F338" s="5" t="s">
        <v>782</v>
      </c>
      <c r="G338" s="6" t="s">
        <v>2214</v>
      </c>
      <c r="H338" s="5" t="s">
        <v>2215</v>
      </c>
      <c r="I338" s="5" t="s">
        <v>1838</v>
      </c>
      <c r="J338" s="6" t="s">
        <v>2216</v>
      </c>
      <c r="K338" s="7" t="s">
        <v>2217</v>
      </c>
    </row>
    <row r="339" spans="1:11">
      <c r="A339" s="5">
        <v>498</v>
      </c>
      <c r="B339" s="5">
        <v>4</v>
      </c>
      <c r="C339" s="5" t="s">
        <v>216</v>
      </c>
      <c r="D339" s="5" t="s">
        <v>2218</v>
      </c>
      <c r="E339" s="5" t="s">
        <v>781</v>
      </c>
      <c r="F339" s="5" t="s">
        <v>782</v>
      </c>
      <c r="G339" s="6" t="s">
        <v>2219</v>
      </c>
      <c r="H339" s="5" t="s">
        <v>2215</v>
      </c>
      <c r="I339" s="5" t="s">
        <v>1838</v>
      </c>
      <c r="J339" s="6" t="s">
        <v>2220</v>
      </c>
      <c r="K339" s="7" t="s">
        <v>2221</v>
      </c>
    </row>
    <row r="340" spans="1:11">
      <c r="A340" s="5">
        <v>499</v>
      </c>
      <c r="B340" s="5">
        <v>4</v>
      </c>
      <c r="C340" s="5" t="s">
        <v>204</v>
      </c>
      <c r="D340" s="5" t="s">
        <v>2222</v>
      </c>
      <c r="E340" s="5" t="s">
        <v>781</v>
      </c>
      <c r="F340" s="5" t="s">
        <v>782</v>
      </c>
      <c r="G340" s="6" t="s">
        <v>2223</v>
      </c>
      <c r="H340" s="5" t="s">
        <v>2215</v>
      </c>
      <c r="I340" s="5" t="s">
        <v>1838</v>
      </c>
      <c r="J340" s="6" t="s">
        <v>2224</v>
      </c>
      <c r="K340" s="7" t="s">
        <v>2225</v>
      </c>
    </row>
    <row r="341" spans="1:11">
      <c r="A341" s="5">
        <v>500</v>
      </c>
      <c r="B341" s="5">
        <v>4</v>
      </c>
      <c r="C341" s="5" t="s">
        <v>183</v>
      </c>
      <c r="D341" s="5">
        <v>2350</v>
      </c>
      <c r="E341" s="5" t="s">
        <v>781</v>
      </c>
      <c r="F341" s="5" t="s">
        <v>821</v>
      </c>
      <c r="G341" s="6" t="s">
        <v>2226</v>
      </c>
      <c r="H341" s="5" t="s">
        <v>2215</v>
      </c>
      <c r="I341" s="5" t="s">
        <v>1838</v>
      </c>
      <c r="J341" s="6" t="s">
        <v>2220</v>
      </c>
      <c r="K341" s="7" t="s">
        <v>2221</v>
      </c>
    </row>
    <row r="342" spans="1:11">
      <c r="A342" s="5">
        <v>501</v>
      </c>
      <c r="B342" s="5">
        <v>4</v>
      </c>
      <c r="C342" s="5" t="s">
        <v>192</v>
      </c>
      <c r="D342" s="5">
        <v>2356</v>
      </c>
      <c r="E342" s="5" t="s">
        <v>781</v>
      </c>
      <c r="F342" s="5" t="s">
        <v>821</v>
      </c>
      <c r="G342" s="6" t="s">
        <v>2227</v>
      </c>
      <c r="H342" s="5" t="s">
        <v>2215</v>
      </c>
      <c r="I342" s="5" t="s">
        <v>1838</v>
      </c>
      <c r="J342" s="6" t="s">
        <v>2212</v>
      </c>
      <c r="K342" s="7" t="s">
        <v>2213</v>
      </c>
    </row>
    <row r="343" spans="1:11">
      <c r="A343" s="5">
        <v>502</v>
      </c>
      <c r="B343" s="5">
        <v>4</v>
      </c>
      <c r="C343" s="5" t="s">
        <v>256</v>
      </c>
      <c r="D343" s="5" t="s">
        <v>2228</v>
      </c>
      <c r="E343" s="5" t="s">
        <v>799</v>
      </c>
      <c r="F343" s="5" t="s">
        <v>782</v>
      </c>
      <c r="G343" s="6" t="s">
        <v>2229</v>
      </c>
      <c r="H343" s="5" t="s">
        <v>2215</v>
      </c>
      <c r="I343" s="5" t="s">
        <v>1838</v>
      </c>
      <c r="J343" s="6" t="s">
        <v>2230</v>
      </c>
      <c r="K343" s="7" t="s">
        <v>2231</v>
      </c>
    </row>
    <row r="344" spans="1:11">
      <c r="A344" s="5">
        <v>503</v>
      </c>
      <c r="B344" s="5">
        <v>4</v>
      </c>
      <c r="C344" s="5" t="s">
        <v>223</v>
      </c>
      <c r="D344" s="5" t="s">
        <v>2232</v>
      </c>
      <c r="E344" s="5" t="s">
        <v>799</v>
      </c>
      <c r="F344" s="5" t="s">
        <v>782</v>
      </c>
      <c r="G344" s="6" t="s">
        <v>2233</v>
      </c>
      <c r="H344" s="5" t="s">
        <v>2215</v>
      </c>
      <c r="I344" s="5" t="s">
        <v>1838</v>
      </c>
      <c r="J344" s="6" t="s">
        <v>2234</v>
      </c>
      <c r="K344" s="7" t="s">
        <v>2235</v>
      </c>
    </row>
    <row r="345" spans="1:11">
      <c r="A345" s="5">
        <v>504</v>
      </c>
      <c r="B345" s="5">
        <v>4</v>
      </c>
      <c r="C345" s="5" t="s">
        <v>330</v>
      </c>
      <c r="D345" s="5" t="s">
        <v>2236</v>
      </c>
      <c r="E345" s="5" t="s">
        <v>799</v>
      </c>
      <c r="F345" s="5" t="s">
        <v>782</v>
      </c>
      <c r="G345" s="6" t="s">
        <v>2237</v>
      </c>
      <c r="H345" s="5" t="s">
        <v>2215</v>
      </c>
      <c r="I345" s="5" t="s">
        <v>1838</v>
      </c>
      <c r="J345" s="6" t="s">
        <v>2238</v>
      </c>
      <c r="K345" s="7" t="s">
        <v>2239</v>
      </c>
    </row>
    <row r="346" spans="1:11">
      <c r="A346" s="5">
        <v>505</v>
      </c>
      <c r="B346" s="5">
        <v>4</v>
      </c>
      <c r="C346" s="5" t="s">
        <v>61</v>
      </c>
      <c r="D346" s="5" t="s">
        <v>2240</v>
      </c>
      <c r="E346" s="5" t="s">
        <v>781</v>
      </c>
      <c r="F346" s="5" t="s">
        <v>782</v>
      </c>
      <c r="G346" s="6" t="s">
        <v>2241</v>
      </c>
      <c r="H346" s="5" t="s">
        <v>2242</v>
      </c>
      <c r="I346" s="5" t="s">
        <v>1838</v>
      </c>
      <c r="J346" s="6" t="s">
        <v>2243</v>
      </c>
      <c r="K346" s="7" t="s">
        <v>2244</v>
      </c>
    </row>
    <row r="347" spans="1:11">
      <c r="A347" s="5">
        <v>506</v>
      </c>
      <c r="B347" s="5">
        <v>4</v>
      </c>
      <c r="C347" s="5" t="s">
        <v>162</v>
      </c>
      <c r="D347" s="5" t="s">
        <v>2245</v>
      </c>
      <c r="E347" s="5" t="s">
        <v>781</v>
      </c>
      <c r="F347" s="5" t="s">
        <v>782</v>
      </c>
      <c r="G347" s="6" t="s">
        <v>2246</v>
      </c>
      <c r="H347" s="5" t="s">
        <v>2242</v>
      </c>
      <c r="I347" s="5" t="s">
        <v>1838</v>
      </c>
      <c r="J347" s="6" t="s">
        <v>2247</v>
      </c>
      <c r="K347" s="7" t="s">
        <v>2248</v>
      </c>
    </row>
    <row r="348" spans="1:11">
      <c r="A348" s="5">
        <v>507</v>
      </c>
      <c r="B348" s="5">
        <v>4</v>
      </c>
      <c r="C348" s="5" t="s">
        <v>2249</v>
      </c>
      <c r="D348" s="5">
        <v>2364</v>
      </c>
      <c r="E348" s="5" t="s">
        <v>781</v>
      </c>
      <c r="F348" s="5" t="s">
        <v>782</v>
      </c>
      <c r="G348" s="6" t="s">
        <v>2250</v>
      </c>
      <c r="H348" s="5" t="s">
        <v>2251</v>
      </c>
      <c r="I348" s="5" t="s">
        <v>1838</v>
      </c>
      <c r="J348" s="6" t="s">
        <v>2252</v>
      </c>
      <c r="K348" s="7" t="s">
        <v>2253</v>
      </c>
    </row>
    <row r="349" spans="1:11">
      <c r="A349" s="5">
        <v>508</v>
      </c>
      <c r="B349" s="5">
        <v>4</v>
      </c>
      <c r="C349" s="5" t="s">
        <v>367</v>
      </c>
      <c r="D349" s="5" t="s">
        <v>2254</v>
      </c>
      <c r="E349" s="8"/>
      <c r="F349" s="5" t="s">
        <v>782</v>
      </c>
      <c r="G349" s="6" t="s">
        <v>2255</v>
      </c>
      <c r="H349" s="5" t="s">
        <v>2215</v>
      </c>
      <c r="I349" s="9" t="s">
        <v>1838</v>
      </c>
      <c r="J349" s="5" t="s">
        <v>2256</v>
      </c>
      <c r="K349" s="10" t="s">
        <v>2257</v>
      </c>
    </row>
    <row r="350" spans="1:11">
      <c r="A350" s="5">
        <v>509</v>
      </c>
      <c r="B350" s="5">
        <v>4</v>
      </c>
      <c r="C350" s="5" t="s">
        <v>283</v>
      </c>
      <c r="D350" s="5" t="s">
        <v>2258</v>
      </c>
      <c r="E350" s="8"/>
      <c r="F350" s="5" t="s">
        <v>782</v>
      </c>
      <c r="G350" s="6" t="s">
        <v>2259</v>
      </c>
      <c r="H350" s="5" t="s">
        <v>2172</v>
      </c>
      <c r="I350" s="9" t="s">
        <v>1838</v>
      </c>
      <c r="J350" s="5" t="s">
        <v>2260</v>
      </c>
      <c r="K350" s="5" t="s">
        <v>2261</v>
      </c>
    </row>
    <row r="351" spans="1:11">
      <c r="A351" s="5">
        <v>510</v>
      </c>
      <c r="B351" s="5">
        <v>5</v>
      </c>
      <c r="C351" s="5" t="s">
        <v>2262</v>
      </c>
      <c r="D351" s="5" t="s">
        <v>2263</v>
      </c>
      <c r="E351" s="5" t="s">
        <v>781</v>
      </c>
      <c r="F351" s="5" t="s">
        <v>782</v>
      </c>
      <c r="G351" s="6" t="s">
        <v>2264</v>
      </c>
      <c r="H351" s="5" t="s">
        <v>2265</v>
      </c>
      <c r="I351" s="5" t="s">
        <v>2266</v>
      </c>
      <c r="J351" s="6" t="s">
        <v>2267</v>
      </c>
      <c r="K351" s="7" t="s">
        <v>2268</v>
      </c>
    </row>
    <row r="352" spans="1:11">
      <c r="A352" s="5">
        <v>511</v>
      </c>
      <c r="B352" s="5">
        <v>5</v>
      </c>
      <c r="C352" s="5" t="s">
        <v>2269</v>
      </c>
      <c r="D352" s="5" t="s">
        <v>2270</v>
      </c>
      <c r="E352" s="5" t="s">
        <v>781</v>
      </c>
      <c r="F352" s="5" t="s">
        <v>782</v>
      </c>
      <c r="G352" s="6" t="s">
        <v>2271</v>
      </c>
      <c r="H352" s="5" t="s">
        <v>2265</v>
      </c>
      <c r="I352" s="5" t="s">
        <v>2266</v>
      </c>
      <c r="J352" s="6" t="s">
        <v>2267</v>
      </c>
      <c r="K352" s="7" t="s">
        <v>2268</v>
      </c>
    </row>
    <row r="353" spans="1:11">
      <c r="A353" s="5">
        <v>512</v>
      </c>
      <c r="B353" s="5">
        <v>5</v>
      </c>
      <c r="C353" s="5" t="s">
        <v>2272</v>
      </c>
      <c r="D353" s="5" t="s">
        <v>2273</v>
      </c>
      <c r="E353" s="5" t="s">
        <v>781</v>
      </c>
      <c r="F353" s="5" t="s">
        <v>782</v>
      </c>
      <c r="G353" s="6" t="s">
        <v>2274</v>
      </c>
      <c r="H353" s="5" t="s">
        <v>2275</v>
      </c>
      <c r="I353" s="5" t="s">
        <v>2266</v>
      </c>
      <c r="J353" s="6" t="s">
        <v>2276</v>
      </c>
      <c r="K353" s="26" t="s">
        <v>2277</v>
      </c>
    </row>
    <row r="354" spans="1:11">
      <c r="A354" s="5">
        <v>513</v>
      </c>
      <c r="B354" s="5">
        <v>5</v>
      </c>
      <c r="C354" s="5" t="s">
        <v>2278</v>
      </c>
      <c r="D354" s="5" t="s">
        <v>2279</v>
      </c>
      <c r="E354" s="5" t="s">
        <v>781</v>
      </c>
      <c r="F354" s="5" t="s">
        <v>782</v>
      </c>
      <c r="G354" s="6" t="s">
        <v>2280</v>
      </c>
      <c r="H354" s="5" t="s">
        <v>2275</v>
      </c>
      <c r="I354" s="5" t="s">
        <v>2266</v>
      </c>
      <c r="J354" s="6" t="s">
        <v>2281</v>
      </c>
      <c r="K354" s="7" t="s">
        <v>2282</v>
      </c>
    </row>
    <row r="355" spans="1:11">
      <c r="A355" s="5">
        <v>514</v>
      </c>
      <c r="B355" s="5">
        <v>5</v>
      </c>
      <c r="C355" s="5" t="s">
        <v>2283</v>
      </c>
      <c r="D355" s="5">
        <v>2481</v>
      </c>
      <c r="E355" s="5" t="s">
        <v>781</v>
      </c>
      <c r="F355" s="5" t="s">
        <v>782</v>
      </c>
      <c r="G355" s="6" t="s">
        <v>2284</v>
      </c>
      <c r="H355" s="5" t="s">
        <v>2285</v>
      </c>
      <c r="I355" s="5" t="s">
        <v>2266</v>
      </c>
      <c r="J355" s="6" t="s">
        <v>2286</v>
      </c>
      <c r="K355" s="7" t="s">
        <v>2287</v>
      </c>
    </row>
    <row r="356" spans="1:11">
      <c r="A356" s="5">
        <v>515</v>
      </c>
      <c r="B356" s="5">
        <v>5</v>
      </c>
      <c r="C356" s="5" t="s">
        <v>2288</v>
      </c>
      <c r="D356" s="5" t="s">
        <v>2289</v>
      </c>
      <c r="E356" s="5" t="s">
        <v>781</v>
      </c>
      <c r="F356" s="5" t="s">
        <v>782</v>
      </c>
      <c r="G356" s="6" t="s">
        <v>2290</v>
      </c>
      <c r="H356" s="5" t="s">
        <v>2285</v>
      </c>
      <c r="I356" s="5" t="s">
        <v>2266</v>
      </c>
      <c r="J356" s="6" t="s">
        <v>2291</v>
      </c>
      <c r="K356" s="7" t="s">
        <v>2292</v>
      </c>
    </row>
    <row r="357" spans="1:11">
      <c r="A357" s="5">
        <v>516</v>
      </c>
      <c r="B357" s="5">
        <v>5</v>
      </c>
      <c r="C357" s="5" t="s">
        <v>2293</v>
      </c>
      <c r="D357" s="5" t="s">
        <v>2294</v>
      </c>
      <c r="E357" s="5" t="s">
        <v>781</v>
      </c>
      <c r="F357" s="5" t="s">
        <v>782</v>
      </c>
      <c r="G357" s="6" t="s">
        <v>2295</v>
      </c>
      <c r="H357" s="5" t="s">
        <v>2296</v>
      </c>
      <c r="I357" s="5" t="s">
        <v>2266</v>
      </c>
      <c r="J357" s="6" t="s">
        <v>2297</v>
      </c>
      <c r="K357" s="7" t="s">
        <v>2298</v>
      </c>
    </row>
    <row r="358" spans="1:11">
      <c r="A358" s="5">
        <v>517</v>
      </c>
      <c r="B358" s="5">
        <v>5</v>
      </c>
      <c r="C358" s="5" t="s">
        <v>2299</v>
      </c>
      <c r="D358" s="5" t="s">
        <v>2300</v>
      </c>
      <c r="E358" s="5" t="s">
        <v>781</v>
      </c>
      <c r="F358" s="5" t="s">
        <v>782</v>
      </c>
      <c r="G358" s="6" t="s">
        <v>2301</v>
      </c>
      <c r="H358" s="5" t="s">
        <v>2296</v>
      </c>
      <c r="I358" s="5" t="s">
        <v>2266</v>
      </c>
      <c r="J358" s="6" t="s">
        <v>2302</v>
      </c>
      <c r="K358" s="7" t="s">
        <v>2303</v>
      </c>
    </row>
    <row r="359" spans="1:11">
      <c r="A359" s="5">
        <v>518</v>
      </c>
      <c r="B359" s="5">
        <v>5</v>
      </c>
      <c r="C359" s="5" t="s">
        <v>2304</v>
      </c>
      <c r="D359" s="5" t="s">
        <v>2305</v>
      </c>
      <c r="E359" s="5" t="s">
        <v>781</v>
      </c>
      <c r="F359" s="5" t="s">
        <v>782</v>
      </c>
      <c r="G359" s="6" t="s">
        <v>2306</v>
      </c>
      <c r="H359" s="5" t="s">
        <v>2307</v>
      </c>
      <c r="I359" s="5" t="s">
        <v>2266</v>
      </c>
      <c r="J359" s="6" t="s">
        <v>2308</v>
      </c>
      <c r="K359" s="7" t="s">
        <v>2309</v>
      </c>
    </row>
    <row r="360" spans="1:11">
      <c r="A360" s="5">
        <v>519</v>
      </c>
      <c r="B360" s="5">
        <v>5</v>
      </c>
      <c r="C360" s="5" t="s">
        <v>2310</v>
      </c>
      <c r="D360" s="5" t="s">
        <v>2311</v>
      </c>
      <c r="E360" s="5" t="s">
        <v>781</v>
      </c>
      <c r="F360" s="5" t="s">
        <v>782</v>
      </c>
      <c r="G360" s="6" t="s">
        <v>2312</v>
      </c>
      <c r="H360" s="5" t="s">
        <v>2313</v>
      </c>
      <c r="I360" s="5" t="s">
        <v>2266</v>
      </c>
      <c r="J360" s="6" t="s">
        <v>2314</v>
      </c>
      <c r="K360" s="7" t="s">
        <v>2315</v>
      </c>
    </row>
    <row r="361" spans="1:11">
      <c r="A361" s="5">
        <v>520</v>
      </c>
      <c r="B361" s="5">
        <v>5</v>
      </c>
      <c r="C361" s="5" t="s">
        <v>2316</v>
      </c>
      <c r="D361" s="5" t="s">
        <v>2317</v>
      </c>
      <c r="E361" s="5" t="s">
        <v>781</v>
      </c>
      <c r="F361" s="5" t="s">
        <v>782</v>
      </c>
      <c r="G361" s="6" t="s">
        <v>2318</v>
      </c>
      <c r="H361" s="5" t="s">
        <v>2313</v>
      </c>
      <c r="I361" s="5" t="s">
        <v>2266</v>
      </c>
      <c r="J361" s="6" t="s">
        <v>2319</v>
      </c>
      <c r="K361" s="7" t="s">
        <v>2320</v>
      </c>
    </row>
    <row r="362" spans="1:11">
      <c r="A362" s="5">
        <v>521</v>
      </c>
      <c r="B362" s="5">
        <v>5</v>
      </c>
      <c r="C362" s="5" t="s">
        <v>2321</v>
      </c>
      <c r="D362" s="5" t="s">
        <v>2322</v>
      </c>
      <c r="E362" s="5" t="s">
        <v>781</v>
      </c>
      <c r="F362" s="5" t="s">
        <v>782</v>
      </c>
      <c r="G362" s="6" t="s">
        <v>2323</v>
      </c>
      <c r="H362" s="5" t="s">
        <v>2324</v>
      </c>
      <c r="I362" s="5" t="s">
        <v>2266</v>
      </c>
      <c r="J362" s="6" t="s">
        <v>2325</v>
      </c>
      <c r="K362" s="7" t="s">
        <v>2326</v>
      </c>
    </row>
    <row r="363" spans="1:11">
      <c r="A363" s="5">
        <v>522</v>
      </c>
      <c r="B363" s="5">
        <v>5</v>
      </c>
      <c r="C363" s="5" t="s">
        <v>2327</v>
      </c>
      <c r="D363" s="5">
        <v>2463</v>
      </c>
      <c r="E363" s="5" t="s">
        <v>781</v>
      </c>
      <c r="F363" s="5" t="s">
        <v>782</v>
      </c>
      <c r="G363" s="6" t="s">
        <v>2328</v>
      </c>
      <c r="H363" s="5" t="s">
        <v>2329</v>
      </c>
      <c r="I363" s="5" t="s">
        <v>2266</v>
      </c>
      <c r="J363" s="6" t="s">
        <v>2330</v>
      </c>
      <c r="K363" s="7" t="s">
        <v>2331</v>
      </c>
    </row>
    <row r="364" spans="1:11">
      <c r="A364" s="5">
        <v>523</v>
      </c>
      <c r="B364" s="5">
        <v>5</v>
      </c>
      <c r="C364" s="5" t="s">
        <v>2332</v>
      </c>
      <c r="D364" s="5" t="s">
        <v>2333</v>
      </c>
      <c r="E364" s="5" t="s">
        <v>781</v>
      </c>
      <c r="F364" s="5" t="s">
        <v>821</v>
      </c>
      <c r="G364" s="6" t="s">
        <v>2334</v>
      </c>
      <c r="H364" s="5" t="s">
        <v>2329</v>
      </c>
      <c r="I364" s="5" t="s">
        <v>2266</v>
      </c>
      <c r="J364" s="6" t="s">
        <v>2330</v>
      </c>
      <c r="K364" s="7" t="s">
        <v>2331</v>
      </c>
    </row>
    <row r="365" spans="1:11">
      <c r="A365" s="5">
        <v>524</v>
      </c>
      <c r="B365" s="5">
        <v>5</v>
      </c>
      <c r="C365" s="5" t="s">
        <v>2335</v>
      </c>
      <c r="D365" s="5" t="s">
        <v>2336</v>
      </c>
      <c r="E365" s="5" t="s">
        <v>781</v>
      </c>
      <c r="F365" s="5" t="s">
        <v>782</v>
      </c>
      <c r="G365" s="6" t="s">
        <v>2337</v>
      </c>
      <c r="H365" s="5" t="s">
        <v>2329</v>
      </c>
      <c r="I365" s="5" t="s">
        <v>2266</v>
      </c>
      <c r="J365" s="6" t="s">
        <v>2338</v>
      </c>
      <c r="K365" s="7" t="s">
        <v>2339</v>
      </c>
    </row>
    <row r="366" spans="1:11">
      <c r="A366" s="5">
        <v>525</v>
      </c>
      <c r="B366" s="5">
        <v>5</v>
      </c>
      <c r="C366" s="5" t="s">
        <v>2340</v>
      </c>
      <c r="D366" s="5">
        <v>2457</v>
      </c>
      <c r="E366" s="5" t="s">
        <v>781</v>
      </c>
      <c r="F366" s="5" t="s">
        <v>821</v>
      </c>
      <c r="G366" s="6" t="s">
        <v>2341</v>
      </c>
      <c r="H366" s="5" t="s">
        <v>2342</v>
      </c>
      <c r="I366" s="5" t="s">
        <v>2266</v>
      </c>
      <c r="J366" s="6" t="s">
        <v>2343</v>
      </c>
      <c r="K366" s="7" t="s">
        <v>2344</v>
      </c>
    </row>
    <row r="367" spans="1:11">
      <c r="A367" s="5">
        <v>526</v>
      </c>
      <c r="B367" s="5">
        <v>5</v>
      </c>
      <c r="C367" s="5" t="s">
        <v>2345</v>
      </c>
      <c r="D367" s="5">
        <v>2459</v>
      </c>
      <c r="E367" s="5" t="s">
        <v>781</v>
      </c>
      <c r="F367" s="5" t="s">
        <v>821</v>
      </c>
      <c r="G367" s="6" t="s">
        <v>2346</v>
      </c>
      <c r="H367" s="5" t="s">
        <v>2342</v>
      </c>
      <c r="I367" s="5" t="s">
        <v>2266</v>
      </c>
      <c r="J367" s="6" t="s">
        <v>2347</v>
      </c>
      <c r="K367" s="7" t="s">
        <v>2348</v>
      </c>
    </row>
    <row r="368" spans="1:11">
      <c r="A368" s="5">
        <v>527</v>
      </c>
      <c r="B368" s="5">
        <v>5</v>
      </c>
      <c r="C368" s="5" t="s">
        <v>2349</v>
      </c>
      <c r="D368" s="5" t="s">
        <v>2350</v>
      </c>
      <c r="E368" s="5" t="s">
        <v>781</v>
      </c>
      <c r="F368" s="5" t="s">
        <v>782</v>
      </c>
      <c r="G368" s="6" t="s">
        <v>2351</v>
      </c>
      <c r="H368" s="5" t="s">
        <v>2342</v>
      </c>
      <c r="I368" s="5" t="s">
        <v>2266</v>
      </c>
      <c r="J368" s="6" t="s">
        <v>2343</v>
      </c>
      <c r="K368" s="7" t="s">
        <v>2344</v>
      </c>
    </row>
    <row r="369" spans="1:11">
      <c r="A369" s="5">
        <v>528</v>
      </c>
      <c r="B369" s="5">
        <v>5</v>
      </c>
      <c r="C369" s="5" t="s">
        <v>2352</v>
      </c>
      <c r="D369" s="5" t="s">
        <v>2353</v>
      </c>
      <c r="E369" s="5" t="s">
        <v>781</v>
      </c>
      <c r="F369" s="5" t="s">
        <v>782</v>
      </c>
      <c r="G369" s="6" t="s">
        <v>2354</v>
      </c>
      <c r="H369" s="5" t="s">
        <v>2342</v>
      </c>
      <c r="I369" s="5" t="s">
        <v>2266</v>
      </c>
      <c r="J369" s="6" t="s">
        <v>2347</v>
      </c>
      <c r="K369" s="7" t="s">
        <v>2348</v>
      </c>
    </row>
    <row r="370" spans="1:11">
      <c r="A370" s="5">
        <v>529</v>
      </c>
      <c r="B370" s="5">
        <v>5</v>
      </c>
      <c r="C370" s="5" t="s">
        <v>2355</v>
      </c>
      <c r="D370" s="5" t="s">
        <v>2356</v>
      </c>
      <c r="E370" s="5" t="s">
        <v>781</v>
      </c>
      <c r="F370" s="5" t="s">
        <v>782</v>
      </c>
      <c r="G370" s="6" t="s">
        <v>2357</v>
      </c>
      <c r="H370" s="5" t="s">
        <v>2342</v>
      </c>
      <c r="I370" s="5" t="s">
        <v>2266</v>
      </c>
      <c r="J370" s="6" t="s">
        <v>2358</v>
      </c>
      <c r="K370" s="7" t="s">
        <v>2359</v>
      </c>
    </row>
    <row r="371" spans="1:11">
      <c r="A371" s="5">
        <v>530</v>
      </c>
      <c r="B371" s="5">
        <v>5</v>
      </c>
      <c r="C371" s="5" t="s">
        <v>568</v>
      </c>
      <c r="D371" s="5" t="s">
        <v>2360</v>
      </c>
      <c r="E371" s="5" t="s">
        <v>781</v>
      </c>
      <c r="F371" s="5" t="s">
        <v>782</v>
      </c>
      <c r="G371" s="6" t="s">
        <v>2361</v>
      </c>
      <c r="H371" s="5" t="s">
        <v>2362</v>
      </c>
      <c r="I371" s="5" t="s">
        <v>2363</v>
      </c>
      <c r="J371" s="6" t="s">
        <v>2364</v>
      </c>
      <c r="K371" s="7" t="s">
        <v>2365</v>
      </c>
    </row>
    <row r="372" spans="1:11">
      <c r="A372" s="5">
        <v>531</v>
      </c>
      <c r="B372" s="5">
        <v>5</v>
      </c>
      <c r="C372" s="5" t="s">
        <v>793</v>
      </c>
      <c r="D372" s="5" t="s">
        <v>793</v>
      </c>
      <c r="E372" s="8" t="s">
        <v>793</v>
      </c>
      <c r="F372" s="5" t="s">
        <v>782</v>
      </c>
      <c r="G372" s="6" t="s">
        <v>2366</v>
      </c>
      <c r="H372" s="5" t="s">
        <v>2362</v>
      </c>
      <c r="I372" s="5" t="s">
        <v>2363</v>
      </c>
      <c r="J372" s="6" t="s">
        <v>2367</v>
      </c>
      <c r="K372" s="26" t="s">
        <v>2368</v>
      </c>
    </row>
    <row r="373" spans="1:11">
      <c r="A373" s="5">
        <v>532</v>
      </c>
      <c r="B373" s="5">
        <v>5</v>
      </c>
      <c r="C373" s="5" t="s">
        <v>706</v>
      </c>
      <c r="D373" s="5" t="s">
        <v>2369</v>
      </c>
      <c r="E373" s="5" t="s">
        <v>781</v>
      </c>
      <c r="F373" s="5" t="s">
        <v>782</v>
      </c>
      <c r="G373" s="6" t="s">
        <v>2370</v>
      </c>
      <c r="H373" s="5" t="s">
        <v>2371</v>
      </c>
      <c r="I373" s="5" t="s">
        <v>2363</v>
      </c>
      <c r="J373" s="6" t="s">
        <v>2372</v>
      </c>
      <c r="K373" s="7" t="s">
        <v>2373</v>
      </c>
    </row>
    <row r="374" spans="1:11">
      <c r="A374" s="5">
        <v>533</v>
      </c>
      <c r="B374" s="5">
        <v>5</v>
      </c>
      <c r="C374" s="5" t="s">
        <v>712</v>
      </c>
      <c r="D374" s="5">
        <v>2478</v>
      </c>
      <c r="E374" s="5" t="s">
        <v>781</v>
      </c>
      <c r="F374" s="5" t="s">
        <v>782</v>
      </c>
      <c r="G374" s="6" t="s">
        <v>2374</v>
      </c>
      <c r="H374" s="5" t="s">
        <v>2371</v>
      </c>
      <c r="I374" s="5" t="s">
        <v>2363</v>
      </c>
      <c r="J374" s="6" t="s">
        <v>2375</v>
      </c>
      <c r="K374" s="7" t="s">
        <v>2376</v>
      </c>
    </row>
    <row r="375" spans="1:11">
      <c r="A375" s="5">
        <v>534</v>
      </c>
      <c r="B375" s="5">
        <v>5</v>
      </c>
      <c r="C375" s="5" t="s">
        <v>715</v>
      </c>
      <c r="D375" s="5" t="s">
        <v>2377</v>
      </c>
      <c r="E375" s="5" t="s">
        <v>781</v>
      </c>
      <c r="F375" s="5" t="s">
        <v>821</v>
      </c>
      <c r="G375" s="6" t="s">
        <v>2378</v>
      </c>
      <c r="H375" s="5" t="s">
        <v>2371</v>
      </c>
      <c r="I375" s="5" t="s">
        <v>2363</v>
      </c>
      <c r="J375" s="6" t="s">
        <v>2375</v>
      </c>
      <c r="K375" s="7" t="s">
        <v>2376</v>
      </c>
    </row>
    <row r="376" spans="1:11">
      <c r="A376" s="5">
        <v>535</v>
      </c>
      <c r="B376" s="5">
        <v>5</v>
      </c>
      <c r="C376" s="5" t="s">
        <v>716</v>
      </c>
      <c r="D376" s="5" t="s">
        <v>2379</v>
      </c>
      <c r="E376" s="5" t="s">
        <v>781</v>
      </c>
      <c r="F376" s="5" t="s">
        <v>782</v>
      </c>
      <c r="G376" s="6" t="s">
        <v>2380</v>
      </c>
      <c r="H376" s="5" t="s">
        <v>2371</v>
      </c>
      <c r="I376" s="5" t="s">
        <v>2363</v>
      </c>
      <c r="J376" s="6" t="s">
        <v>2381</v>
      </c>
      <c r="K376" s="7" t="s">
        <v>2382</v>
      </c>
    </row>
    <row r="377" spans="1:11">
      <c r="A377" s="5">
        <v>536</v>
      </c>
      <c r="B377" s="5">
        <v>5</v>
      </c>
      <c r="C377" s="5" t="s">
        <v>719</v>
      </c>
      <c r="D377" s="5">
        <v>2487</v>
      </c>
      <c r="E377" s="5" t="s">
        <v>781</v>
      </c>
      <c r="F377" s="5" t="s">
        <v>782</v>
      </c>
      <c r="G377" s="6" t="s">
        <v>2383</v>
      </c>
      <c r="H377" s="5" t="s">
        <v>2371</v>
      </c>
      <c r="I377" s="5" t="s">
        <v>2363</v>
      </c>
      <c r="J377" s="6" t="s">
        <v>2384</v>
      </c>
      <c r="K377" s="7" t="s">
        <v>2385</v>
      </c>
    </row>
    <row r="378" spans="1:11">
      <c r="A378" s="5">
        <v>537</v>
      </c>
      <c r="B378" s="5">
        <v>5</v>
      </c>
      <c r="C378" s="5" t="s">
        <v>709</v>
      </c>
      <c r="D378" s="5">
        <v>2473</v>
      </c>
      <c r="E378" s="5" t="s">
        <v>799</v>
      </c>
      <c r="F378" s="5" t="s">
        <v>782</v>
      </c>
      <c r="G378" s="6" t="s">
        <v>2386</v>
      </c>
      <c r="H378" s="5" t="s">
        <v>2371</v>
      </c>
      <c r="I378" s="5" t="s">
        <v>2363</v>
      </c>
      <c r="J378" s="6" t="s">
        <v>2387</v>
      </c>
      <c r="K378" s="7" t="s">
        <v>2388</v>
      </c>
    </row>
    <row r="379" spans="1:11">
      <c r="A379" s="5">
        <v>538</v>
      </c>
      <c r="B379" s="5">
        <v>5</v>
      </c>
      <c r="C379" s="5" t="s">
        <v>722</v>
      </c>
      <c r="D379" s="5" t="s">
        <v>2389</v>
      </c>
      <c r="E379" s="5" t="s">
        <v>781</v>
      </c>
      <c r="F379" s="5" t="s">
        <v>782</v>
      </c>
      <c r="G379" s="6" t="s">
        <v>2390</v>
      </c>
      <c r="H379" s="5" t="s">
        <v>2371</v>
      </c>
      <c r="I379" s="5" t="s">
        <v>2363</v>
      </c>
      <c r="J379" s="6" t="s">
        <v>2391</v>
      </c>
      <c r="K379" s="7" t="s">
        <v>2392</v>
      </c>
    </row>
    <row r="380" spans="1:11">
      <c r="A380" s="5">
        <v>539</v>
      </c>
      <c r="B380" s="5">
        <v>5</v>
      </c>
      <c r="C380" s="5" t="s">
        <v>793</v>
      </c>
      <c r="D380" s="5" t="s">
        <v>793</v>
      </c>
      <c r="E380" s="8" t="s">
        <v>793</v>
      </c>
      <c r="F380" s="5" t="s">
        <v>782</v>
      </c>
      <c r="G380" s="6" t="s">
        <v>2393</v>
      </c>
      <c r="H380" s="5" t="s">
        <v>2371</v>
      </c>
      <c r="I380" s="5" t="s">
        <v>2363</v>
      </c>
      <c r="J380" s="7" t="s">
        <v>2394</v>
      </c>
      <c r="K380" s="26" t="s">
        <v>2395</v>
      </c>
    </row>
    <row r="381" spans="1:11">
      <c r="A381" s="5">
        <v>540</v>
      </c>
      <c r="B381" s="5">
        <v>5</v>
      </c>
      <c r="C381" s="5" t="s">
        <v>456</v>
      </c>
      <c r="D381" s="5" t="s">
        <v>2396</v>
      </c>
      <c r="E381" s="5" t="s">
        <v>781</v>
      </c>
      <c r="F381" s="5" t="s">
        <v>782</v>
      </c>
      <c r="G381" s="6" t="s">
        <v>2397</v>
      </c>
      <c r="H381" s="5" t="s">
        <v>2398</v>
      </c>
      <c r="I381" s="5" t="s">
        <v>2363</v>
      </c>
      <c r="J381" s="6" t="s">
        <v>2399</v>
      </c>
      <c r="K381" s="7" t="s">
        <v>2400</v>
      </c>
    </row>
    <row r="382" spans="1:11">
      <c r="A382" s="5">
        <v>541</v>
      </c>
      <c r="B382" s="5">
        <v>5</v>
      </c>
      <c r="C382" s="5" t="s">
        <v>476</v>
      </c>
      <c r="D382" s="5" t="s">
        <v>2401</v>
      </c>
      <c r="E382" s="5" t="s">
        <v>781</v>
      </c>
      <c r="F382" s="5" t="s">
        <v>782</v>
      </c>
      <c r="G382" s="6" t="s">
        <v>2402</v>
      </c>
      <c r="H382" s="5" t="s">
        <v>2398</v>
      </c>
      <c r="I382" s="5" t="s">
        <v>2363</v>
      </c>
      <c r="J382" s="6" t="s">
        <v>2403</v>
      </c>
      <c r="K382" s="7" t="s">
        <v>2404</v>
      </c>
    </row>
    <row r="383" spans="1:11">
      <c r="A383" s="5">
        <v>542</v>
      </c>
      <c r="B383" s="5">
        <v>5</v>
      </c>
      <c r="C383" s="5" t="s">
        <v>450</v>
      </c>
      <c r="D383" s="5" t="s">
        <v>2405</v>
      </c>
      <c r="E383" s="5" t="s">
        <v>781</v>
      </c>
      <c r="F383" s="5" t="s">
        <v>782</v>
      </c>
      <c r="G383" s="6" t="s">
        <v>2406</v>
      </c>
      <c r="H383" s="5" t="s">
        <v>2407</v>
      </c>
      <c r="I383" s="5" t="s">
        <v>2363</v>
      </c>
      <c r="J383" s="6" t="s">
        <v>2408</v>
      </c>
      <c r="K383" s="7" t="s">
        <v>2409</v>
      </c>
    </row>
    <row r="384" spans="1:11">
      <c r="A384" s="5">
        <v>543</v>
      </c>
      <c r="B384" s="5">
        <v>5</v>
      </c>
      <c r="C384" s="5" t="s">
        <v>473</v>
      </c>
      <c r="D384" s="5" t="s">
        <v>2410</v>
      </c>
      <c r="E384" s="5" t="s">
        <v>781</v>
      </c>
      <c r="F384" s="5" t="s">
        <v>782</v>
      </c>
      <c r="G384" s="6" t="s">
        <v>2411</v>
      </c>
      <c r="H384" s="5" t="s">
        <v>2407</v>
      </c>
      <c r="I384" s="5" t="s">
        <v>2363</v>
      </c>
      <c r="J384" s="6" t="s">
        <v>2412</v>
      </c>
      <c r="K384" s="7" t="s">
        <v>2413</v>
      </c>
    </row>
    <row r="385" spans="1:11">
      <c r="A385" s="5">
        <v>544</v>
      </c>
      <c r="B385" s="5">
        <v>5</v>
      </c>
      <c r="C385" s="5" t="s">
        <v>516</v>
      </c>
      <c r="D385" s="5" t="s">
        <v>2414</v>
      </c>
      <c r="E385" s="5" t="s">
        <v>781</v>
      </c>
      <c r="F385" s="5" t="s">
        <v>782</v>
      </c>
      <c r="G385" s="6" t="s">
        <v>2415</v>
      </c>
      <c r="H385" s="5" t="s">
        <v>2407</v>
      </c>
      <c r="I385" s="5" t="s">
        <v>2363</v>
      </c>
      <c r="J385" s="6" t="s">
        <v>2416</v>
      </c>
      <c r="K385" s="7" t="s">
        <v>2417</v>
      </c>
    </row>
    <row r="386" spans="1:11">
      <c r="A386" s="5">
        <v>545</v>
      </c>
      <c r="B386" s="5">
        <v>5</v>
      </c>
      <c r="C386" s="5" t="s">
        <v>633</v>
      </c>
      <c r="D386" s="5" t="s">
        <v>2418</v>
      </c>
      <c r="E386" s="5" t="s">
        <v>781</v>
      </c>
      <c r="F386" s="5" t="s">
        <v>782</v>
      </c>
      <c r="G386" s="6" t="s">
        <v>2419</v>
      </c>
      <c r="H386" s="5" t="s">
        <v>2407</v>
      </c>
      <c r="I386" s="5" t="s">
        <v>2363</v>
      </c>
      <c r="J386" s="6" t="s">
        <v>2420</v>
      </c>
      <c r="K386" s="7" t="s">
        <v>2421</v>
      </c>
    </row>
    <row r="387" spans="1:11">
      <c r="A387" s="5">
        <v>546</v>
      </c>
      <c r="B387" s="5">
        <v>5</v>
      </c>
      <c r="C387" s="5" t="s">
        <v>679</v>
      </c>
      <c r="D387" s="5" t="s">
        <v>2422</v>
      </c>
      <c r="E387" s="5" t="s">
        <v>781</v>
      </c>
      <c r="F387" s="5" t="s">
        <v>782</v>
      </c>
      <c r="G387" s="6" t="s">
        <v>2423</v>
      </c>
      <c r="H387" s="5" t="s">
        <v>2424</v>
      </c>
      <c r="I387" s="5" t="s">
        <v>2363</v>
      </c>
      <c r="J387" s="6" t="s">
        <v>2425</v>
      </c>
      <c r="K387" s="7" t="s">
        <v>2426</v>
      </c>
    </row>
    <row r="388" spans="1:11">
      <c r="A388" s="5">
        <v>547</v>
      </c>
      <c r="B388" s="5">
        <v>5</v>
      </c>
      <c r="C388" s="5" t="s">
        <v>2427</v>
      </c>
      <c r="D388" s="5">
        <v>2452</v>
      </c>
      <c r="E388" s="5" t="s">
        <v>799</v>
      </c>
      <c r="F388" s="5" t="s">
        <v>821</v>
      </c>
      <c r="G388" s="6" t="s">
        <v>2428</v>
      </c>
      <c r="H388" s="5" t="s">
        <v>2429</v>
      </c>
      <c r="I388" s="5" t="s">
        <v>2363</v>
      </c>
      <c r="J388" s="6" t="s">
        <v>2430</v>
      </c>
      <c r="K388" s="7" t="s">
        <v>2431</v>
      </c>
    </row>
    <row r="389" spans="1:11">
      <c r="A389" s="5">
        <v>548</v>
      </c>
      <c r="B389" s="5">
        <v>5</v>
      </c>
      <c r="C389" s="5" t="s">
        <v>519</v>
      </c>
      <c r="D389" s="5" t="s">
        <v>2432</v>
      </c>
      <c r="E389" s="5" t="s">
        <v>781</v>
      </c>
      <c r="F389" s="5" t="s">
        <v>782</v>
      </c>
      <c r="G389" s="6" t="s">
        <v>2433</v>
      </c>
      <c r="H389" s="5" t="s">
        <v>2429</v>
      </c>
      <c r="I389" s="5" t="s">
        <v>2363</v>
      </c>
      <c r="J389" s="6" t="s">
        <v>2430</v>
      </c>
      <c r="K389" s="7" t="s">
        <v>2431</v>
      </c>
    </row>
    <row r="390" spans="1:11">
      <c r="A390" s="5">
        <v>549</v>
      </c>
      <c r="B390" s="5">
        <v>5</v>
      </c>
      <c r="C390" s="5" t="s">
        <v>553</v>
      </c>
      <c r="D390" s="5">
        <v>2486</v>
      </c>
      <c r="E390" s="5" t="s">
        <v>781</v>
      </c>
      <c r="F390" s="5" t="s">
        <v>782</v>
      </c>
      <c r="G390" s="6" t="s">
        <v>2434</v>
      </c>
      <c r="H390" s="5" t="s">
        <v>2429</v>
      </c>
      <c r="I390" s="5" t="s">
        <v>2363</v>
      </c>
      <c r="J390" s="6" t="s">
        <v>2435</v>
      </c>
      <c r="K390" s="7" t="s">
        <v>2436</v>
      </c>
    </row>
    <row r="391" spans="1:11">
      <c r="A391" s="5">
        <v>550</v>
      </c>
      <c r="B391" s="5">
        <v>5</v>
      </c>
      <c r="C391" s="5" t="s">
        <v>613</v>
      </c>
      <c r="D391" s="5" t="s">
        <v>2437</v>
      </c>
      <c r="E391" s="5" t="s">
        <v>799</v>
      </c>
      <c r="F391" s="5" t="s">
        <v>782</v>
      </c>
      <c r="G391" s="6" t="s">
        <v>2438</v>
      </c>
      <c r="H391" s="5" t="s">
        <v>2429</v>
      </c>
      <c r="I391" s="5" t="s">
        <v>2363</v>
      </c>
      <c r="J391" s="6" t="s">
        <v>2439</v>
      </c>
      <c r="K391" s="7" t="s">
        <v>2440</v>
      </c>
    </row>
    <row r="392" spans="1:11">
      <c r="A392" s="5">
        <v>551</v>
      </c>
      <c r="B392" s="5">
        <v>5</v>
      </c>
      <c r="C392" s="5" t="s">
        <v>629</v>
      </c>
      <c r="D392" s="5" t="s">
        <v>2441</v>
      </c>
      <c r="E392" s="5" t="s">
        <v>799</v>
      </c>
      <c r="F392" s="5" t="s">
        <v>782</v>
      </c>
      <c r="G392" s="6" t="s">
        <v>2442</v>
      </c>
      <c r="H392" s="5" t="s">
        <v>2429</v>
      </c>
      <c r="I392" s="5" t="s">
        <v>2363</v>
      </c>
      <c r="J392" s="6" t="s">
        <v>2443</v>
      </c>
      <c r="K392" s="7" t="s">
        <v>2444</v>
      </c>
    </row>
    <row r="393" spans="1:11">
      <c r="A393" s="5">
        <v>552</v>
      </c>
      <c r="B393" s="5">
        <v>5</v>
      </c>
      <c r="C393" s="5" t="s">
        <v>636</v>
      </c>
      <c r="D393" s="5" t="s">
        <v>2445</v>
      </c>
      <c r="E393" s="5" t="s">
        <v>799</v>
      </c>
      <c r="F393" s="5" t="s">
        <v>782</v>
      </c>
      <c r="G393" s="6" t="s">
        <v>2446</v>
      </c>
      <c r="H393" s="5" t="s">
        <v>2429</v>
      </c>
      <c r="I393" s="5" t="s">
        <v>2363</v>
      </c>
      <c r="J393" s="6" t="s">
        <v>2447</v>
      </c>
      <c r="K393" s="7" t="s">
        <v>2448</v>
      </c>
    </row>
    <row r="394" spans="1:11">
      <c r="A394" s="5">
        <v>553</v>
      </c>
      <c r="B394" s="5">
        <v>5</v>
      </c>
      <c r="C394" s="5" t="s">
        <v>642</v>
      </c>
      <c r="D394" s="5" t="s">
        <v>2449</v>
      </c>
      <c r="E394" s="5" t="s">
        <v>799</v>
      </c>
      <c r="F394" s="5" t="s">
        <v>782</v>
      </c>
      <c r="G394" s="6" t="s">
        <v>2450</v>
      </c>
      <c r="H394" s="5" t="s">
        <v>2429</v>
      </c>
      <c r="I394" s="5" t="s">
        <v>2363</v>
      </c>
      <c r="J394" s="6" t="s">
        <v>2451</v>
      </c>
      <c r="K394" s="7" t="s">
        <v>2452</v>
      </c>
    </row>
    <row r="395" spans="1:11">
      <c r="A395" s="5">
        <v>554</v>
      </c>
      <c r="B395" s="5">
        <v>5</v>
      </c>
      <c r="C395" s="5" t="s">
        <v>670</v>
      </c>
      <c r="D395" s="5" t="s">
        <v>2453</v>
      </c>
      <c r="E395" s="5" t="s">
        <v>781</v>
      </c>
      <c r="F395" s="5" t="s">
        <v>782</v>
      </c>
      <c r="G395" s="6" t="s">
        <v>2454</v>
      </c>
      <c r="H395" s="5" t="s">
        <v>2455</v>
      </c>
      <c r="I395" s="5" t="s">
        <v>2363</v>
      </c>
      <c r="J395" s="6" t="s">
        <v>2456</v>
      </c>
      <c r="K395" s="7" t="s">
        <v>2457</v>
      </c>
    </row>
    <row r="396" spans="1:11">
      <c r="A396" s="5">
        <v>555</v>
      </c>
      <c r="B396" s="5">
        <v>5</v>
      </c>
      <c r="C396" s="5" t="s">
        <v>685</v>
      </c>
      <c r="D396" s="5">
        <v>2477</v>
      </c>
      <c r="E396" s="5" t="s">
        <v>781</v>
      </c>
      <c r="F396" s="5" t="s">
        <v>782</v>
      </c>
      <c r="G396" s="6" t="s">
        <v>2458</v>
      </c>
      <c r="H396" s="5" t="s">
        <v>2455</v>
      </c>
      <c r="I396" s="5" t="s">
        <v>2363</v>
      </c>
      <c r="J396" s="6" t="s">
        <v>2459</v>
      </c>
      <c r="K396" s="7" t="s">
        <v>2460</v>
      </c>
    </row>
    <row r="397" spans="1:11">
      <c r="A397" s="5">
        <v>556</v>
      </c>
      <c r="B397" s="5">
        <v>5</v>
      </c>
      <c r="C397" s="5" t="s">
        <v>688</v>
      </c>
      <c r="D397" s="5">
        <v>2482</v>
      </c>
      <c r="E397" s="5" t="s">
        <v>781</v>
      </c>
      <c r="F397" s="5" t="s">
        <v>782</v>
      </c>
      <c r="G397" s="6" t="s">
        <v>2461</v>
      </c>
      <c r="H397" s="5" t="s">
        <v>2455</v>
      </c>
      <c r="I397" s="5" t="s">
        <v>2363</v>
      </c>
      <c r="J397" s="6" t="s">
        <v>2462</v>
      </c>
      <c r="K397" s="7" t="s">
        <v>2463</v>
      </c>
    </row>
    <row r="398" spans="1:11">
      <c r="A398" s="5">
        <v>557</v>
      </c>
      <c r="B398" s="5">
        <v>5</v>
      </c>
      <c r="C398" s="5" t="s">
        <v>697</v>
      </c>
      <c r="D398" s="5" t="s">
        <v>2464</v>
      </c>
      <c r="E398" s="5" t="s">
        <v>781</v>
      </c>
      <c r="F398" s="5" t="s">
        <v>782</v>
      </c>
      <c r="G398" s="6" t="s">
        <v>2465</v>
      </c>
      <c r="H398" s="5" t="s">
        <v>2455</v>
      </c>
      <c r="I398" s="5" t="s">
        <v>2363</v>
      </c>
      <c r="J398" s="6" t="s">
        <v>2466</v>
      </c>
      <c r="K398" s="7" t="s">
        <v>2467</v>
      </c>
    </row>
    <row r="399" spans="1:11">
      <c r="A399" s="5">
        <v>558</v>
      </c>
      <c r="B399" s="5">
        <v>5</v>
      </c>
      <c r="C399" s="5" t="s">
        <v>703</v>
      </c>
      <c r="D399" s="5" t="s">
        <v>2468</v>
      </c>
      <c r="E399" s="5" t="s">
        <v>781</v>
      </c>
      <c r="F399" s="5" t="s">
        <v>782</v>
      </c>
      <c r="G399" s="6" t="s">
        <v>2469</v>
      </c>
      <c r="H399" s="5" t="s">
        <v>2455</v>
      </c>
      <c r="I399" s="5" t="s">
        <v>2363</v>
      </c>
      <c r="J399" s="6" t="s">
        <v>2470</v>
      </c>
      <c r="K399" s="7" t="s">
        <v>2471</v>
      </c>
    </row>
    <row r="400" spans="1:11">
      <c r="A400" s="5">
        <v>559</v>
      </c>
      <c r="B400" s="5">
        <v>5</v>
      </c>
      <c r="C400" s="5" t="s">
        <v>676</v>
      </c>
      <c r="D400" s="5">
        <v>2465</v>
      </c>
      <c r="E400" s="5" t="s">
        <v>799</v>
      </c>
      <c r="F400" s="5" t="s">
        <v>782</v>
      </c>
      <c r="G400" s="6" t="s">
        <v>2472</v>
      </c>
      <c r="H400" s="5" t="s">
        <v>2455</v>
      </c>
      <c r="I400" s="5" t="s">
        <v>2363</v>
      </c>
      <c r="J400" s="6" t="s">
        <v>2473</v>
      </c>
      <c r="K400" s="7" t="s">
        <v>2474</v>
      </c>
    </row>
    <row r="401" spans="1:11">
      <c r="A401" s="5">
        <v>560</v>
      </c>
      <c r="B401" s="5">
        <v>5</v>
      </c>
      <c r="C401" s="5" t="s">
        <v>406</v>
      </c>
      <c r="D401" s="5" t="s">
        <v>2475</v>
      </c>
      <c r="E401" s="5" t="s">
        <v>781</v>
      </c>
      <c r="F401" s="5" t="s">
        <v>782</v>
      </c>
      <c r="G401" s="6" t="s">
        <v>2476</v>
      </c>
      <c r="H401" s="5" t="s">
        <v>2477</v>
      </c>
      <c r="I401" s="5" t="s">
        <v>2363</v>
      </c>
      <c r="J401" s="6" t="s">
        <v>2478</v>
      </c>
      <c r="K401" s="7" t="s">
        <v>2479</v>
      </c>
    </row>
    <row r="402" spans="1:11">
      <c r="A402" s="5">
        <v>561</v>
      </c>
      <c r="B402" s="5">
        <v>5</v>
      </c>
      <c r="C402" s="5" t="s">
        <v>486</v>
      </c>
      <c r="D402" s="5" t="s">
        <v>2480</v>
      </c>
      <c r="E402" s="5" t="s">
        <v>781</v>
      </c>
      <c r="F402" s="5" t="s">
        <v>782</v>
      </c>
      <c r="G402" s="6" t="s">
        <v>2481</v>
      </c>
      <c r="H402" s="5" t="s">
        <v>2477</v>
      </c>
      <c r="I402" s="5" t="s">
        <v>2363</v>
      </c>
      <c r="J402" s="6" t="s">
        <v>2482</v>
      </c>
      <c r="K402" s="7" t="s">
        <v>2483</v>
      </c>
    </row>
    <row r="403" spans="1:11">
      <c r="A403" s="5">
        <v>562</v>
      </c>
      <c r="B403" s="5">
        <v>5</v>
      </c>
      <c r="C403" s="5" t="s">
        <v>492</v>
      </c>
      <c r="D403" s="5">
        <v>2471</v>
      </c>
      <c r="E403" s="5" t="s">
        <v>781</v>
      </c>
      <c r="F403" s="5" t="s">
        <v>782</v>
      </c>
      <c r="G403" s="6" t="s">
        <v>2484</v>
      </c>
      <c r="H403" s="5" t="s">
        <v>2477</v>
      </c>
      <c r="I403" s="5" t="s">
        <v>2363</v>
      </c>
      <c r="J403" s="6" t="s">
        <v>2485</v>
      </c>
      <c r="K403" s="7" t="s">
        <v>2486</v>
      </c>
    </row>
    <row r="404" spans="1:11">
      <c r="A404" s="5">
        <v>563</v>
      </c>
      <c r="B404" s="5">
        <v>5</v>
      </c>
      <c r="C404" s="5" t="s">
        <v>495</v>
      </c>
      <c r="D404" s="5">
        <v>2472</v>
      </c>
      <c r="E404" s="5" t="s">
        <v>781</v>
      </c>
      <c r="F404" s="5" t="s">
        <v>782</v>
      </c>
      <c r="G404" s="6" t="s">
        <v>2487</v>
      </c>
      <c r="H404" s="5" t="s">
        <v>2477</v>
      </c>
      <c r="I404" s="5" t="s">
        <v>2363</v>
      </c>
      <c r="J404" s="6" t="s">
        <v>2488</v>
      </c>
      <c r="K404" s="7" t="s">
        <v>2489</v>
      </c>
    </row>
    <row r="405" spans="1:11">
      <c r="A405" s="5">
        <v>564</v>
      </c>
      <c r="B405" s="5">
        <v>5</v>
      </c>
      <c r="C405" s="5" t="s">
        <v>510</v>
      </c>
      <c r="D405" s="5" t="s">
        <v>2490</v>
      </c>
      <c r="E405" s="5" t="s">
        <v>781</v>
      </c>
      <c r="F405" s="5" t="s">
        <v>782</v>
      </c>
      <c r="G405" s="6" t="s">
        <v>2491</v>
      </c>
      <c r="H405" s="5" t="s">
        <v>2477</v>
      </c>
      <c r="I405" s="5" t="s">
        <v>2363</v>
      </c>
      <c r="J405" s="6" t="s">
        <v>2492</v>
      </c>
      <c r="K405" s="7" t="s">
        <v>2493</v>
      </c>
    </row>
    <row r="406" spans="1:11">
      <c r="A406" s="5">
        <v>565</v>
      </c>
      <c r="B406" s="5">
        <v>5</v>
      </c>
      <c r="C406" s="5" t="s">
        <v>376</v>
      </c>
      <c r="D406" s="5">
        <v>2451</v>
      </c>
      <c r="E406" s="5" t="s">
        <v>781</v>
      </c>
      <c r="F406" s="5" t="s">
        <v>821</v>
      </c>
      <c r="G406" s="6" t="s">
        <v>2494</v>
      </c>
      <c r="H406" s="5" t="s">
        <v>2495</v>
      </c>
      <c r="I406" s="5" t="s">
        <v>2363</v>
      </c>
      <c r="J406" s="6" t="s">
        <v>2496</v>
      </c>
      <c r="K406" s="7" t="s">
        <v>2497</v>
      </c>
    </row>
    <row r="407" spans="1:11">
      <c r="A407" s="5">
        <v>566</v>
      </c>
      <c r="B407" s="5">
        <v>5</v>
      </c>
      <c r="C407" s="5" t="s">
        <v>397</v>
      </c>
      <c r="D407" s="5" t="s">
        <v>2498</v>
      </c>
      <c r="E407" s="5" t="s">
        <v>781</v>
      </c>
      <c r="F407" s="5" t="s">
        <v>782</v>
      </c>
      <c r="G407" s="6" t="s">
        <v>2499</v>
      </c>
      <c r="H407" s="5" t="s">
        <v>2495</v>
      </c>
      <c r="I407" s="5" t="s">
        <v>2363</v>
      </c>
      <c r="J407" s="6" t="s">
        <v>2500</v>
      </c>
      <c r="K407" s="7" t="s">
        <v>2501</v>
      </c>
    </row>
    <row r="408" spans="1:11">
      <c r="A408" s="5">
        <v>567</v>
      </c>
      <c r="B408" s="5">
        <v>5</v>
      </c>
      <c r="C408" s="5" t="s">
        <v>412</v>
      </c>
      <c r="D408" s="5" t="s">
        <v>2502</v>
      </c>
      <c r="E408" s="5" t="s">
        <v>781</v>
      </c>
      <c r="F408" s="5" t="s">
        <v>782</v>
      </c>
      <c r="G408" s="6" t="s">
        <v>2503</v>
      </c>
      <c r="H408" s="5" t="s">
        <v>2495</v>
      </c>
      <c r="I408" s="5" t="s">
        <v>2363</v>
      </c>
      <c r="J408" s="6" t="s">
        <v>2504</v>
      </c>
      <c r="K408" s="7" t="s">
        <v>2505</v>
      </c>
    </row>
    <row r="409" spans="1:11">
      <c r="A409" s="5">
        <v>568</v>
      </c>
      <c r="B409" s="5">
        <v>5</v>
      </c>
      <c r="C409" s="5" t="s">
        <v>522</v>
      </c>
      <c r="D409" s="5" t="s">
        <v>2506</v>
      </c>
      <c r="E409" s="5" t="s">
        <v>781</v>
      </c>
      <c r="F409" s="5" t="s">
        <v>782</v>
      </c>
      <c r="G409" s="6" t="s">
        <v>2507</v>
      </c>
      <c r="H409" s="5" t="s">
        <v>2495</v>
      </c>
      <c r="I409" s="5" t="s">
        <v>2363</v>
      </c>
      <c r="J409" s="6" t="s">
        <v>2496</v>
      </c>
      <c r="K409" s="7" t="s">
        <v>2497</v>
      </c>
    </row>
    <row r="410" spans="1:11">
      <c r="A410" s="5">
        <v>569</v>
      </c>
      <c r="B410" s="5">
        <v>5</v>
      </c>
      <c r="C410" s="5" t="s">
        <v>565</v>
      </c>
      <c r="D410" s="5" t="s">
        <v>2508</v>
      </c>
      <c r="E410" s="5" t="s">
        <v>781</v>
      </c>
      <c r="F410" s="5" t="s">
        <v>782</v>
      </c>
      <c r="G410" s="6" t="s">
        <v>2509</v>
      </c>
      <c r="H410" s="5" t="s">
        <v>2495</v>
      </c>
      <c r="I410" s="5" t="s">
        <v>2363</v>
      </c>
      <c r="J410" s="6" t="s">
        <v>2510</v>
      </c>
      <c r="K410" s="26" t="s">
        <v>2511</v>
      </c>
    </row>
    <row r="411" spans="1:11">
      <c r="A411" s="5">
        <v>570</v>
      </c>
      <c r="B411" s="5">
        <v>5</v>
      </c>
      <c r="C411" s="5" t="s">
        <v>415</v>
      </c>
      <c r="D411" s="5" t="s">
        <v>2512</v>
      </c>
      <c r="E411" s="5" t="s">
        <v>781</v>
      </c>
      <c r="F411" s="5" t="s">
        <v>782</v>
      </c>
      <c r="G411" s="6" t="s">
        <v>2513</v>
      </c>
      <c r="H411" s="5" t="s">
        <v>2514</v>
      </c>
      <c r="I411" s="5" t="s">
        <v>2363</v>
      </c>
      <c r="J411" s="6" t="s">
        <v>2515</v>
      </c>
      <c r="K411" s="7" t="s">
        <v>2516</v>
      </c>
    </row>
    <row r="412" spans="1:11">
      <c r="A412" s="5">
        <v>571</v>
      </c>
      <c r="B412" s="5">
        <v>5</v>
      </c>
      <c r="C412" s="5" t="s">
        <v>639</v>
      </c>
      <c r="D412" s="5" t="s">
        <v>2517</v>
      </c>
      <c r="E412" s="5" t="s">
        <v>781</v>
      </c>
      <c r="F412" s="5" t="s">
        <v>782</v>
      </c>
      <c r="G412" s="6" t="s">
        <v>2518</v>
      </c>
      <c r="H412" s="5" t="s">
        <v>2514</v>
      </c>
      <c r="I412" s="5" t="s">
        <v>2363</v>
      </c>
      <c r="J412" s="6" t="s">
        <v>2519</v>
      </c>
      <c r="K412" s="7" t="s">
        <v>2520</v>
      </c>
    </row>
    <row r="413" spans="1:11">
      <c r="A413" s="5">
        <v>572</v>
      </c>
      <c r="B413" s="5">
        <v>5</v>
      </c>
      <c r="C413" s="5" t="s">
        <v>489</v>
      </c>
      <c r="D413" s="5">
        <v>2470</v>
      </c>
      <c r="E413" s="5" t="s">
        <v>781</v>
      </c>
      <c r="F413" s="5" t="s">
        <v>782</v>
      </c>
      <c r="G413" s="6" t="s">
        <v>2521</v>
      </c>
      <c r="H413" s="5" t="s">
        <v>2514</v>
      </c>
      <c r="I413" s="5" t="s">
        <v>2363</v>
      </c>
      <c r="J413" s="6" t="s">
        <v>2522</v>
      </c>
      <c r="K413" s="7" t="s">
        <v>2523</v>
      </c>
    </row>
    <row r="414" spans="1:11">
      <c r="A414" s="5">
        <v>573</v>
      </c>
      <c r="B414" s="5">
        <v>5</v>
      </c>
      <c r="C414" s="5" t="s">
        <v>504</v>
      </c>
      <c r="D414" s="5">
        <v>2479</v>
      </c>
      <c r="E414" s="5" t="s">
        <v>781</v>
      </c>
      <c r="F414" s="5" t="s">
        <v>782</v>
      </c>
      <c r="G414" s="6" t="s">
        <v>2524</v>
      </c>
      <c r="H414" s="5" t="s">
        <v>2514</v>
      </c>
      <c r="I414" s="5" t="s">
        <v>2363</v>
      </c>
      <c r="J414" s="6" t="s">
        <v>2525</v>
      </c>
      <c r="K414" s="7" t="s">
        <v>2526</v>
      </c>
    </row>
    <row r="415" spans="1:11">
      <c r="A415" s="5">
        <v>574</v>
      </c>
      <c r="B415" s="5">
        <v>5</v>
      </c>
      <c r="C415" s="5" t="s">
        <v>616</v>
      </c>
      <c r="D415" s="5" t="s">
        <v>2527</v>
      </c>
      <c r="E415" s="5" t="s">
        <v>799</v>
      </c>
      <c r="F415" s="5" t="s">
        <v>782</v>
      </c>
      <c r="G415" s="6" t="s">
        <v>2528</v>
      </c>
      <c r="H415" s="5" t="s">
        <v>2514</v>
      </c>
      <c r="I415" s="5" t="s">
        <v>2363</v>
      </c>
      <c r="J415" s="6" t="s">
        <v>2529</v>
      </c>
      <c r="K415" s="7" t="s">
        <v>2530</v>
      </c>
    </row>
    <row r="416" spans="1:11">
      <c r="A416" s="5">
        <v>575</v>
      </c>
      <c r="B416" s="5">
        <v>5</v>
      </c>
      <c r="C416" s="5" t="s">
        <v>682</v>
      </c>
      <c r="D416" s="5" t="s">
        <v>2531</v>
      </c>
      <c r="E416" s="5" t="s">
        <v>781</v>
      </c>
      <c r="F416" s="5" t="s">
        <v>782</v>
      </c>
      <c r="G416" s="6" t="s">
        <v>2532</v>
      </c>
      <c r="H416" s="5" t="s">
        <v>2533</v>
      </c>
      <c r="I416" s="5" t="s">
        <v>2363</v>
      </c>
      <c r="J416" s="6" t="s">
        <v>2534</v>
      </c>
      <c r="K416" s="7" t="s">
        <v>2535</v>
      </c>
    </row>
    <row r="417" spans="1:11">
      <c r="A417" s="5">
        <v>576</v>
      </c>
      <c r="B417" s="5">
        <v>5</v>
      </c>
      <c r="C417" s="5" t="s">
        <v>651</v>
      </c>
      <c r="D417" s="5" t="s">
        <v>2536</v>
      </c>
      <c r="E417" s="5" t="s">
        <v>781</v>
      </c>
      <c r="F417" s="5" t="s">
        <v>782</v>
      </c>
      <c r="G417" s="6" t="s">
        <v>2537</v>
      </c>
      <c r="H417" s="5" t="s">
        <v>2533</v>
      </c>
      <c r="I417" s="5" t="s">
        <v>2363</v>
      </c>
      <c r="J417" s="6" t="s">
        <v>2538</v>
      </c>
      <c r="K417" s="7" t="s">
        <v>2539</v>
      </c>
    </row>
    <row r="418" spans="1:11">
      <c r="A418" s="5">
        <v>577</v>
      </c>
      <c r="B418" s="5">
        <v>5</v>
      </c>
      <c r="C418" s="5" t="s">
        <v>694</v>
      </c>
      <c r="D418" s="5" t="s">
        <v>2540</v>
      </c>
      <c r="E418" s="5" t="s">
        <v>781</v>
      </c>
      <c r="F418" s="5" t="s">
        <v>782</v>
      </c>
      <c r="G418" s="6" t="s">
        <v>2541</v>
      </c>
      <c r="H418" s="5" t="s">
        <v>2533</v>
      </c>
      <c r="I418" s="5" t="s">
        <v>2363</v>
      </c>
      <c r="J418" s="6" t="s">
        <v>2542</v>
      </c>
      <c r="K418" s="7" t="s">
        <v>2543</v>
      </c>
    </row>
    <row r="419" spans="1:11">
      <c r="A419" s="5">
        <v>578</v>
      </c>
      <c r="B419" s="5">
        <v>5</v>
      </c>
      <c r="C419" s="5" t="s">
        <v>588</v>
      </c>
      <c r="D419" s="5">
        <v>2496</v>
      </c>
      <c r="E419" s="5" t="s">
        <v>781</v>
      </c>
      <c r="F419" s="5" t="s">
        <v>782</v>
      </c>
      <c r="G419" s="6" t="s">
        <v>2544</v>
      </c>
      <c r="H419" s="5" t="s">
        <v>2545</v>
      </c>
      <c r="I419" s="5" t="s">
        <v>2363</v>
      </c>
      <c r="J419" s="6" t="s">
        <v>2546</v>
      </c>
      <c r="K419" s="7" t="s">
        <v>2547</v>
      </c>
    </row>
    <row r="420" spans="1:11">
      <c r="A420" s="5">
        <v>579</v>
      </c>
      <c r="B420" s="5">
        <v>5</v>
      </c>
      <c r="C420" s="5" t="s">
        <v>459</v>
      </c>
      <c r="D420" s="5" t="s">
        <v>2548</v>
      </c>
      <c r="E420" s="5" t="s">
        <v>781</v>
      </c>
      <c r="F420" s="5" t="s">
        <v>782</v>
      </c>
      <c r="G420" s="6" t="s">
        <v>2549</v>
      </c>
      <c r="H420" s="5" t="s">
        <v>2550</v>
      </c>
      <c r="I420" s="5" t="s">
        <v>2363</v>
      </c>
      <c r="J420" s="6" t="s">
        <v>2551</v>
      </c>
      <c r="K420" s="7" t="s">
        <v>2552</v>
      </c>
    </row>
    <row r="421" spans="1:11">
      <c r="A421" s="5">
        <v>580</v>
      </c>
      <c r="B421" s="5">
        <v>5</v>
      </c>
      <c r="C421" s="5" t="s">
        <v>594</v>
      </c>
      <c r="D421" s="5">
        <v>2499</v>
      </c>
      <c r="E421" s="5" t="s">
        <v>781</v>
      </c>
      <c r="F421" s="5" t="s">
        <v>782</v>
      </c>
      <c r="G421" s="6" t="s">
        <v>2553</v>
      </c>
      <c r="H421" s="5" t="s">
        <v>2550</v>
      </c>
      <c r="I421" s="5" t="s">
        <v>2363</v>
      </c>
      <c r="J421" s="6" t="s">
        <v>2554</v>
      </c>
      <c r="K421" s="7" t="s">
        <v>2555</v>
      </c>
    </row>
    <row r="422" spans="1:11">
      <c r="A422" s="5">
        <v>581</v>
      </c>
      <c r="B422" s="5">
        <v>5</v>
      </c>
      <c r="C422" s="5"/>
      <c r="D422" s="5"/>
      <c r="E422" s="5"/>
      <c r="F422" s="5" t="s">
        <v>782</v>
      </c>
      <c r="G422" s="6" t="s">
        <v>2556</v>
      </c>
      <c r="H422" s="5" t="s">
        <v>2550</v>
      </c>
      <c r="I422" s="5" t="s">
        <v>2363</v>
      </c>
      <c r="J422" s="6" t="s">
        <v>2557</v>
      </c>
      <c r="K422" s="26" t="s">
        <v>2558</v>
      </c>
    </row>
    <row r="423" spans="1:11">
      <c r="A423" s="5">
        <v>582</v>
      </c>
      <c r="B423" s="5">
        <v>5</v>
      </c>
      <c r="C423" s="5" t="s">
        <v>382</v>
      </c>
      <c r="D423" s="5">
        <v>2455</v>
      </c>
      <c r="E423" s="5" t="s">
        <v>781</v>
      </c>
      <c r="F423" s="5" t="s">
        <v>821</v>
      </c>
      <c r="G423" s="6" t="s">
        <v>2559</v>
      </c>
      <c r="H423" s="5" t="s">
        <v>2560</v>
      </c>
      <c r="I423" s="5" t="s">
        <v>2363</v>
      </c>
      <c r="J423" s="6" t="s">
        <v>2561</v>
      </c>
      <c r="K423" s="7" t="s">
        <v>2562</v>
      </c>
    </row>
    <row r="424" spans="1:11">
      <c r="A424" s="5">
        <v>583</v>
      </c>
      <c r="B424" s="5">
        <v>5</v>
      </c>
      <c r="C424" s="5" t="s">
        <v>388</v>
      </c>
      <c r="D424" s="5">
        <v>2458</v>
      </c>
      <c r="E424" s="5" t="s">
        <v>781</v>
      </c>
      <c r="F424" s="5" t="s">
        <v>782</v>
      </c>
      <c r="G424" s="6" t="s">
        <v>2563</v>
      </c>
      <c r="H424" s="5" t="s">
        <v>2560</v>
      </c>
      <c r="I424" s="5" t="s">
        <v>2363</v>
      </c>
      <c r="J424" s="6" t="s">
        <v>2564</v>
      </c>
      <c r="K424" s="7" t="s">
        <v>2565</v>
      </c>
    </row>
    <row r="425" spans="1:11">
      <c r="A425" s="5">
        <v>584</v>
      </c>
      <c r="B425" s="5">
        <v>5</v>
      </c>
      <c r="C425" s="5" t="s">
        <v>400</v>
      </c>
      <c r="D425" s="5" t="s">
        <v>2566</v>
      </c>
      <c r="E425" s="5" t="s">
        <v>781</v>
      </c>
      <c r="F425" s="5" t="s">
        <v>782</v>
      </c>
      <c r="G425" s="6" t="s">
        <v>2567</v>
      </c>
      <c r="H425" s="5" t="s">
        <v>2560</v>
      </c>
      <c r="I425" s="5" t="s">
        <v>2363</v>
      </c>
      <c r="J425" s="6" t="s">
        <v>2568</v>
      </c>
      <c r="K425" s="7" t="s">
        <v>2569</v>
      </c>
    </row>
    <row r="426" spans="1:11">
      <c r="A426" s="5">
        <v>585</v>
      </c>
      <c r="B426" s="5">
        <v>5</v>
      </c>
      <c r="C426" s="5" t="s">
        <v>431</v>
      </c>
      <c r="D426" s="5" t="s">
        <v>2570</v>
      </c>
      <c r="E426" s="5" t="s">
        <v>781</v>
      </c>
      <c r="F426" s="5" t="s">
        <v>782</v>
      </c>
      <c r="G426" s="6" t="s">
        <v>2571</v>
      </c>
      <c r="H426" s="5" t="s">
        <v>2560</v>
      </c>
      <c r="I426" s="5" t="s">
        <v>2363</v>
      </c>
      <c r="J426" s="6" t="s">
        <v>2561</v>
      </c>
      <c r="K426" s="7" t="s">
        <v>2562</v>
      </c>
    </row>
    <row r="427" spans="1:11">
      <c r="A427" s="5">
        <v>586</v>
      </c>
      <c r="B427" s="5">
        <v>5</v>
      </c>
      <c r="C427" s="5" t="s">
        <v>444</v>
      </c>
      <c r="D427" s="5">
        <v>2469</v>
      </c>
      <c r="E427" s="5" t="s">
        <v>781</v>
      </c>
      <c r="F427" s="5" t="s">
        <v>782</v>
      </c>
      <c r="G427" s="6" t="s">
        <v>2572</v>
      </c>
      <c r="H427" s="5" t="s">
        <v>2560</v>
      </c>
      <c r="I427" s="5" t="s">
        <v>2363</v>
      </c>
      <c r="J427" s="6" t="s">
        <v>2573</v>
      </c>
      <c r="K427" s="7" t="s">
        <v>2574</v>
      </c>
    </row>
    <row r="428" spans="1:11">
      <c r="A428" s="5">
        <v>587</v>
      </c>
      <c r="B428" s="5">
        <v>5</v>
      </c>
      <c r="C428" s="5" t="s">
        <v>600</v>
      </c>
      <c r="D428" s="5" t="s">
        <v>2575</v>
      </c>
      <c r="E428" s="5" t="s">
        <v>781</v>
      </c>
      <c r="F428" s="5" t="s">
        <v>782</v>
      </c>
      <c r="G428" s="6" t="s">
        <v>2576</v>
      </c>
      <c r="H428" s="5" t="s">
        <v>2560</v>
      </c>
      <c r="I428" s="5" t="s">
        <v>2363</v>
      </c>
      <c r="J428" s="6" t="s">
        <v>2577</v>
      </c>
      <c r="K428" s="7" t="s">
        <v>2578</v>
      </c>
    </row>
    <row r="429" spans="1:11">
      <c r="A429" s="5">
        <v>588</v>
      </c>
      <c r="B429" s="5">
        <v>5</v>
      </c>
      <c r="C429" s="5" t="s">
        <v>626</v>
      </c>
      <c r="D429" s="5" t="s">
        <v>2579</v>
      </c>
      <c r="E429" s="5" t="s">
        <v>799</v>
      </c>
      <c r="F429" s="5" t="s">
        <v>782</v>
      </c>
      <c r="G429" s="6" t="s">
        <v>2580</v>
      </c>
      <c r="H429" s="5" t="s">
        <v>2560</v>
      </c>
      <c r="I429" s="5" t="s">
        <v>2363</v>
      </c>
      <c r="J429" s="6" t="s">
        <v>2581</v>
      </c>
      <c r="K429" s="7" t="s">
        <v>2582</v>
      </c>
    </row>
    <row r="430" spans="1:11">
      <c r="A430" s="5">
        <v>589</v>
      </c>
      <c r="B430" s="5">
        <v>5</v>
      </c>
      <c r="C430" s="5" t="s">
        <v>574</v>
      </c>
      <c r="D430" s="5" t="s">
        <v>2583</v>
      </c>
      <c r="E430" s="5" t="s">
        <v>799</v>
      </c>
      <c r="F430" s="5" t="s">
        <v>782</v>
      </c>
      <c r="G430" s="6" t="s">
        <v>2584</v>
      </c>
      <c r="H430" s="5" t="s">
        <v>2560</v>
      </c>
      <c r="I430" s="5" t="s">
        <v>2363</v>
      </c>
      <c r="J430" s="6" t="s">
        <v>2585</v>
      </c>
      <c r="K430" s="7" t="s">
        <v>2586</v>
      </c>
    </row>
    <row r="431" spans="1:11">
      <c r="A431" s="5">
        <v>590</v>
      </c>
      <c r="B431" s="5">
        <v>5</v>
      </c>
      <c r="C431" s="5" t="s">
        <v>655</v>
      </c>
      <c r="D431" s="5" t="s">
        <v>2587</v>
      </c>
      <c r="E431" s="5" t="s">
        <v>799</v>
      </c>
      <c r="F431" s="5" t="s">
        <v>782</v>
      </c>
      <c r="G431" s="6" t="s">
        <v>2588</v>
      </c>
      <c r="H431" s="5" t="s">
        <v>2560</v>
      </c>
      <c r="I431" s="5" t="s">
        <v>2363</v>
      </c>
      <c r="J431" s="6" t="s">
        <v>2589</v>
      </c>
      <c r="K431" s="7" t="s">
        <v>2590</v>
      </c>
    </row>
    <row r="432" spans="1:11">
      <c r="A432" s="5">
        <v>591</v>
      </c>
      <c r="B432" s="5">
        <v>5</v>
      </c>
      <c r="C432" s="5" t="s">
        <v>2591</v>
      </c>
      <c r="D432" s="5" t="s">
        <v>2592</v>
      </c>
      <c r="E432" s="5" t="s">
        <v>799</v>
      </c>
      <c r="F432" s="5" t="s">
        <v>821</v>
      </c>
      <c r="G432" s="6" t="s">
        <v>2593</v>
      </c>
      <c r="H432" s="5" t="s">
        <v>2560</v>
      </c>
      <c r="I432" s="5" t="s">
        <v>2363</v>
      </c>
      <c r="J432" s="6" t="s">
        <v>2564</v>
      </c>
      <c r="K432" s="7" t="s">
        <v>2565</v>
      </c>
    </row>
    <row r="433" spans="1:11">
      <c r="A433" s="5">
        <v>592</v>
      </c>
      <c r="B433" s="5">
        <v>5</v>
      </c>
      <c r="C433" s="5" t="s">
        <v>394</v>
      </c>
      <c r="D433" s="5" t="s">
        <v>2594</v>
      </c>
      <c r="E433" s="5" t="s">
        <v>781</v>
      </c>
      <c r="F433" s="5" t="s">
        <v>782</v>
      </c>
      <c r="G433" s="6" t="s">
        <v>2595</v>
      </c>
      <c r="H433" s="5" t="s">
        <v>2596</v>
      </c>
      <c r="I433" s="5" t="s">
        <v>2363</v>
      </c>
      <c r="J433" s="6" t="s">
        <v>2597</v>
      </c>
      <c r="K433" s="7" t="s">
        <v>2598</v>
      </c>
    </row>
    <row r="434" spans="1:11">
      <c r="A434" s="5">
        <v>593</v>
      </c>
      <c r="B434" s="5">
        <v>5</v>
      </c>
      <c r="C434" s="5" t="s">
        <v>438</v>
      </c>
      <c r="D434" s="5">
        <v>2467</v>
      </c>
      <c r="E434" s="5" t="s">
        <v>781</v>
      </c>
      <c r="F434" s="5" t="s">
        <v>782</v>
      </c>
      <c r="G434" s="6" t="s">
        <v>2599</v>
      </c>
      <c r="H434" s="5" t="s">
        <v>2596</v>
      </c>
      <c r="I434" s="5" t="s">
        <v>2363</v>
      </c>
      <c r="J434" s="6" t="s">
        <v>2600</v>
      </c>
      <c r="K434" s="7" t="s">
        <v>2601</v>
      </c>
    </row>
    <row r="435" spans="1:11">
      <c r="A435" s="5">
        <v>594</v>
      </c>
      <c r="B435" s="5">
        <v>5</v>
      </c>
      <c r="C435" s="5" t="s">
        <v>467</v>
      </c>
      <c r="D435" s="5" t="s">
        <v>2602</v>
      </c>
      <c r="E435" s="5" t="s">
        <v>781</v>
      </c>
      <c r="F435" s="5" t="s">
        <v>782</v>
      </c>
      <c r="G435" s="6" t="s">
        <v>2603</v>
      </c>
      <c r="H435" s="5" t="s">
        <v>2596</v>
      </c>
      <c r="I435" s="5" t="s">
        <v>2363</v>
      </c>
      <c r="J435" s="6" t="s">
        <v>2604</v>
      </c>
      <c r="K435" s="7" t="s">
        <v>2605</v>
      </c>
    </row>
    <row r="436" spans="1:11">
      <c r="A436" s="5">
        <v>595</v>
      </c>
      <c r="B436" s="5">
        <v>5</v>
      </c>
      <c r="C436" s="5" t="s">
        <v>597</v>
      </c>
      <c r="D436" s="5" t="s">
        <v>2606</v>
      </c>
      <c r="E436" s="5" t="s">
        <v>781</v>
      </c>
      <c r="F436" s="5" t="s">
        <v>782</v>
      </c>
      <c r="G436" s="6" t="s">
        <v>2607</v>
      </c>
      <c r="H436" s="5" t="s">
        <v>2596</v>
      </c>
      <c r="I436" s="5" t="s">
        <v>2363</v>
      </c>
      <c r="J436" s="6" t="s">
        <v>2608</v>
      </c>
      <c r="K436" s="7" t="s">
        <v>2609</v>
      </c>
    </row>
    <row r="437" spans="1:11">
      <c r="A437" s="5">
        <v>596</v>
      </c>
      <c r="B437" s="5">
        <v>5</v>
      </c>
      <c r="C437" s="5" t="s">
        <v>619</v>
      </c>
      <c r="D437" s="5" t="s">
        <v>2610</v>
      </c>
      <c r="E437" s="5" t="s">
        <v>799</v>
      </c>
      <c r="F437" s="5" t="s">
        <v>782</v>
      </c>
      <c r="G437" s="6" t="s">
        <v>2611</v>
      </c>
      <c r="H437" s="5" t="s">
        <v>2596</v>
      </c>
      <c r="I437" s="5" t="s">
        <v>2363</v>
      </c>
      <c r="J437" s="6" t="s">
        <v>2612</v>
      </c>
      <c r="K437" s="7" t="s">
        <v>2613</v>
      </c>
    </row>
    <row r="438" spans="1:11">
      <c r="A438" s="5">
        <v>597</v>
      </c>
      <c r="B438" s="5">
        <v>5</v>
      </c>
      <c r="C438" s="5" t="s">
        <v>648</v>
      </c>
      <c r="D438" s="5" t="s">
        <v>2614</v>
      </c>
      <c r="E438" s="5" t="s">
        <v>781</v>
      </c>
      <c r="F438" s="5" t="s">
        <v>782</v>
      </c>
      <c r="G438" s="6" t="s">
        <v>2615</v>
      </c>
      <c r="H438" s="5" t="s">
        <v>2616</v>
      </c>
      <c r="I438" s="5" t="s">
        <v>2363</v>
      </c>
      <c r="J438" s="6" t="s">
        <v>2617</v>
      </c>
      <c r="K438" s="7" t="s">
        <v>2618</v>
      </c>
    </row>
    <row r="439" spans="1:11">
      <c r="A439" s="5">
        <v>598</v>
      </c>
      <c r="B439" s="5">
        <v>5</v>
      </c>
      <c r="C439" s="5" t="s">
        <v>526</v>
      </c>
      <c r="D439" s="5" t="s">
        <v>2619</v>
      </c>
      <c r="E439" s="5" t="s">
        <v>781</v>
      </c>
      <c r="F439" s="5" t="s">
        <v>782</v>
      </c>
      <c r="G439" s="6" t="s">
        <v>2620</v>
      </c>
      <c r="H439" s="5" t="s">
        <v>2616</v>
      </c>
      <c r="I439" s="5" t="s">
        <v>2363</v>
      </c>
      <c r="J439" s="6" t="s">
        <v>2621</v>
      </c>
      <c r="K439" s="7" t="s">
        <v>2622</v>
      </c>
    </row>
    <row r="440" spans="1:11">
      <c r="A440" s="5">
        <v>599</v>
      </c>
      <c r="B440" s="5">
        <v>5</v>
      </c>
      <c r="C440" s="5" t="s">
        <v>532</v>
      </c>
      <c r="D440" s="5" t="s">
        <v>2623</v>
      </c>
      <c r="E440" s="5" t="s">
        <v>781</v>
      </c>
      <c r="F440" s="5" t="s">
        <v>782</v>
      </c>
      <c r="G440" s="6" t="s">
        <v>2624</v>
      </c>
      <c r="H440" s="5" t="s">
        <v>2616</v>
      </c>
      <c r="I440" s="5" t="s">
        <v>2363</v>
      </c>
      <c r="J440" s="6" t="s">
        <v>2625</v>
      </c>
      <c r="K440" s="7" t="s">
        <v>2626</v>
      </c>
    </row>
    <row r="441" spans="1:11">
      <c r="A441" s="5">
        <v>600</v>
      </c>
      <c r="B441" s="5">
        <v>5</v>
      </c>
      <c r="C441" s="5" t="s">
        <v>556</v>
      </c>
      <c r="D441" s="5">
        <v>2488</v>
      </c>
      <c r="E441" s="5" t="s">
        <v>781</v>
      </c>
      <c r="F441" s="5" t="s">
        <v>782</v>
      </c>
      <c r="G441" s="6" t="s">
        <v>2627</v>
      </c>
      <c r="H441" s="5" t="s">
        <v>2616</v>
      </c>
      <c r="I441" s="5" t="s">
        <v>2363</v>
      </c>
      <c r="J441" s="6" t="s">
        <v>2628</v>
      </c>
      <c r="K441" s="7" t="s">
        <v>2629</v>
      </c>
    </row>
    <row r="442" spans="1:11">
      <c r="A442" s="5">
        <v>601</v>
      </c>
      <c r="B442" s="5">
        <v>5</v>
      </c>
      <c r="C442" s="5" t="s">
        <v>432</v>
      </c>
      <c r="D442" s="5">
        <v>2461</v>
      </c>
      <c r="E442" s="5" t="s">
        <v>781</v>
      </c>
      <c r="F442" s="5" t="s">
        <v>821</v>
      </c>
      <c r="G442" s="6" t="s">
        <v>2630</v>
      </c>
      <c r="H442" s="5" t="s">
        <v>2631</v>
      </c>
      <c r="I442" s="5" t="s">
        <v>2363</v>
      </c>
      <c r="J442" s="6" t="s">
        <v>2632</v>
      </c>
      <c r="K442" s="7" t="s">
        <v>2633</v>
      </c>
    </row>
    <row r="443" spans="1:11">
      <c r="A443" s="5">
        <v>602</v>
      </c>
      <c r="B443" s="5">
        <v>5</v>
      </c>
      <c r="C443" s="5" t="s">
        <v>463</v>
      </c>
      <c r="D443" s="5" t="s">
        <v>2634</v>
      </c>
      <c r="E443" s="5" t="s">
        <v>781</v>
      </c>
      <c r="F443" s="5" t="s">
        <v>782</v>
      </c>
      <c r="G443" s="6" t="s">
        <v>2635</v>
      </c>
      <c r="H443" s="5" t="s">
        <v>2631</v>
      </c>
      <c r="I443" s="5" t="s">
        <v>2363</v>
      </c>
      <c r="J443" s="6" t="s">
        <v>2632</v>
      </c>
      <c r="K443" s="7" t="s">
        <v>2633</v>
      </c>
    </row>
    <row r="444" spans="1:11">
      <c r="A444" s="5">
        <v>603</v>
      </c>
      <c r="B444" s="5">
        <v>5</v>
      </c>
      <c r="C444" s="5" t="s">
        <v>480</v>
      </c>
      <c r="D444" s="5" t="s">
        <v>2636</v>
      </c>
      <c r="E444" s="5" t="s">
        <v>781</v>
      </c>
      <c r="F444" s="5" t="s">
        <v>782</v>
      </c>
      <c r="G444" s="6" t="s">
        <v>2637</v>
      </c>
      <c r="H444" s="5" t="s">
        <v>2631</v>
      </c>
      <c r="I444" s="5" t="s">
        <v>2363</v>
      </c>
      <c r="J444" s="6" t="s">
        <v>2638</v>
      </c>
      <c r="K444" s="7" t="s">
        <v>2639</v>
      </c>
    </row>
    <row r="445" spans="1:11">
      <c r="A445" s="5">
        <v>604</v>
      </c>
      <c r="B445" s="5">
        <v>5</v>
      </c>
      <c r="C445" s="5" t="s">
        <v>507</v>
      </c>
      <c r="D445" s="5" t="s">
        <v>2640</v>
      </c>
      <c r="E445" s="5" t="s">
        <v>781</v>
      </c>
      <c r="F445" s="5" t="s">
        <v>782</v>
      </c>
      <c r="G445" s="6" t="s">
        <v>2641</v>
      </c>
      <c r="H445" s="5" t="s">
        <v>2631</v>
      </c>
      <c r="I445" s="5" t="s">
        <v>2363</v>
      </c>
      <c r="J445" s="6" t="s">
        <v>2642</v>
      </c>
      <c r="K445" s="7" t="s">
        <v>2643</v>
      </c>
    </row>
    <row r="446" spans="1:11">
      <c r="A446" s="5">
        <v>605</v>
      </c>
      <c r="B446" s="5">
        <v>5</v>
      </c>
      <c r="C446" s="5" t="s">
        <v>361</v>
      </c>
      <c r="D446" s="5" t="s">
        <v>2644</v>
      </c>
      <c r="E446" s="5" t="s">
        <v>781</v>
      </c>
      <c r="F446" s="5" t="s">
        <v>782</v>
      </c>
      <c r="G446" s="6" t="s">
        <v>2645</v>
      </c>
      <c r="H446" s="5" t="s">
        <v>2646</v>
      </c>
      <c r="I446" s="5" t="s">
        <v>2363</v>
      </c>
      <c r="J446" s="6" t="s">
        <v>2647</v>
      </c>
      <c r="K446" s="7" t="s">
        <v>2648</v>
      </c>
    </row>
    <row r="447" spans="1:11">
      <c r="A447" s="5">
        <v>606</v>
      </c>
      <c r="B447" s="5">
        <v>5</v>
      </c>
      <c r="C447" s="5" t="s">
        <v>513</v>
      </c>
      <c r="D447" s="5" t="s">
        <v>2649</v>
      </c>
      <c r="E447" s="5" t="s">
        <v>781</v>
      </c>
      <c r="F447" s="5" t="s">
        <v>821</v>
      </c>
      <c r="G447" s="6" t="s">
        <v>2650</v>
      </c>
      <c r="H447" s="5" t="s">
        <v>2651</v>
      </c>
      <c r="I447" s="5" t="s">
        <v>2363</v>
      </c>
      <c r="J447" s="6" t="s">
        <v>2652</v>
      </c>
      <c r="K447" s="7" t="s">
        <v>2653</v>
      </c>
    </row>
    <row r="448" spans="1:11">
      <c r="A448" s="5">
        <v>607</v>
      </c>
      <c r="B448" s="5">
        <v>5</v>
      </c>
      <c r="C448" s="5" t="s">
        <v>587</v>
      </c>
      <c r="D448" s="5">
        <v>2495</v>
      </c>
      <c r="E448" s="5" t="s">
        <v>781</v>
      </c>
      <c r="F448" s="5" t="s">
        <v>782</v>
      </c>
      <c r="G448" s="6" t="s">
        <v>2654</v>
      </c>
      <c r="H448" s="5" t="s">
        <v>2651</v>
      </c>
      <c r="I448" s="5" t="s">
        <v>2363</v>
      </c>
      <c r="J448" s="6" t="s">
        <v>2652</v>
      </c>
      <c r="K448" s="7" t="s">
        <v>2653</v>
      </c>
    </row>
    <row r="449" spans="1:11">
      <c r="A449" s="5">
        <v>608</v>
      </c>
      <c r="B449" s="5">
        <v>5</v>
      </c>
      <c r="C449" s="5" t="s">
        <v>379</v>
      </c>
      <c r="D449" s="5">
        <v>2454</v>
      </c>
      <c r="E449" s="5" t="s">
        <v>781</v>
      </c>
      <c r="F449" s="5" t="s">
        <v>821</v>
      </c>
      <c r="G449" s="6" t="s">
        <v>2655</v>
      </c>
      <c r="H449" s="5" t="s">
        <v>2656</v>
      </c>
      <c r="I449" s="5" t="s">
        <v>2363</v>
      </c>
      <c r="J449" s="6" t="s">
        <v>2657</v>
      </c>
      <c r="K449" s="7" t="s">
        <v>2658</v>
      </c>
    </row>
    <row r="450" spans="1:11">
      <c r="A450" s="5">
        <v>609</v>
      </c>
      <c r="B450" s="5">
        <v>5</v>
      </c>
      <c r="C450" s="5" t="s">
        <v>409</v>
      </c>
      <c r="D450" s="5" t="s">
        <v>2659</v>
      </c>
      <c r="E450" s="5" t="s">
        <v>781</v>
      </c>
      <c r="F450" s="5" t="s">
        <v>782</v>
      </c>
      <c r="G450" s="6" t="s">
        <v>2660</v>
      </c>
      <c r="H450" s="5" t="s">
        <v>2656</v>
      </c>
      <c r="I450" s="5" t="s">
        <v>2363</v>
      </c>
      <c r="J450" s="6" t="s">
        <v>2661</v>
      </c>
      <c r="K450" s="7" t="s">
        <v>2662</v>
      </c>
    </row>
    <row r="451" spans="1:11">
      <c r="A451" s="5">
        <v>610</v>
      </c>
      <c r="B451" s="5">
        <v>5</v>
      </c>
      <c r="C451" s="5" t="s">
        <v>479</v>
      </c>
      <c r="D451" s="5" t="s">
        <v>2663</v>
      </c>
      <c r="E451" s="5" t="s">
        <v>781</v>
      </c>
      <c r="F451" s="5" t="s">
        <v>782</v>
      </c>
      <c r="G451" s="6" t="s">
        <v>2664</v>
      </c>
      <c r="H451" s="5" t="s">
        <v>2656</v>
      </c>
      <c r="I451" s="5" t="s">
        <v>2363</v>
      </c>
      <c r="J451" s="6" t="s">
        <v>2657</v>
      </c>
      <c r="K451" s="7" t="s">
        <v>2658</v>
      </c>
    </row>
    <row r="452" spans="1:11">
      <c r="A452" s="5">
        <v>611</v>
      </c>
      <c r="B452" s="5">
        <v>5</v>
      </c>
      <c r="C452" s="5" t="s">
        <v>498</v>
      </c>
      <c r="D452" s="5">
        <v>2475</v>
      </c>
      <c r="E452" s="5" t="s">
        <v>781</v>
      </c>
      <c r="F452" s="5" t="s">
        <v>782</v>
      </c>
      <c r="G452" s="6" t="s">
        <v>2665</v>
      </c>
      <c r="H452" s="5" t="s">
        <v>2656</v>
      </c>
      <c r="I452" s="5" t="s">
        <v>2363</v>
      </c>
      <c r="J452" s="6" t="s">
        <v>2666</v>
      </c>
      <c r="K452" s="7" t="s">
        <v>2667</v>
      </c>
    </row>
    <row r="453" spans="1:11">
      <c r="A453" s="5">
        <v>612</v>
      </c>
      <c r="B453" s="5">
        <v>5</v>
      </c>
      <c r="C453" s="5" t="s">
        <v>501</v>
      </c>
      <c r="D453" s="5">
        <v>2476</v>
      </c>
      <c r="E453" s="5" t="s">
        <v>781</v>
      </c>
      <c r="F453" s="5" t="s">
        <v>782</v>
      </c>
      <c r="G453" s="6" t="s">
        <v>2668</v>
      </c>
      <c r="H453" s="5" t="s">
        <v>2656</v>
      </c>
      <c r="I453" s="5" t="s">
        <v>2363</v>
      </c>
      <c r="J453" s="6" t="s">
        <v>2669</v>
      </c>
      <c r="K453" s="7" t="s">
        <v>2670</v>
      </c>
    </row>
    <row r="454" spans="1:11">
      <c r="A454" s="5">
        <v>613</v>
      </c>
      <c r="B454" s="5">
        <v>5</v>
      </c>
      <c r="C454" s="5" t="s">
        <v>523</v>
      </c>
      <c r="D454" s="5" t="s">
        <v>2671</v>
      </c>
      <c r="E454" s="5" t="s">
        <v>781</v>
      </c>
      <c r="F454" s="5" t="s">
        <v>782</v>
      </c>
      <c r="G454" s="6" t="s">
        <v>2672</v>
      </c>
      <c r="H454" s="5" t="s">
        <v>2656</v>
      </c>
      <c r="I454" s="5" t="s">
        <v>2363</v>
      </c>
      <c r="J454" s="6" t="s">
        <v>2673</v>
      </c>
      <c r="K454" s="7" t="s">
        <v>2674</v>
      </c>
    </row>
    <row r="455" spans="1:11">
      <c r="A455" s="5">
        <v>614</v>
      </c>
      <c r="B455" s="5">
        <v>5</v>
      </c>
      <c r="C455" s="5" t="s">
        <v>535</v>
      </c>
      <c r="D455" s="5" t="s">
        <v>2675</v>
      </c>
      <c r="E455" s="5" t="s">
        <v>781</v>
      </c>
      <c r="F455" s="5" t="s">
        <v>782</v>
      </c>
      <c r="G455" s="6" t="s">
        <v>2676</v>
      </c>
      <c r="H455" s="5" t="s">
        <v>2656</v>
      </c>
      <c r="I455" s="5" t="s">
        <v>2363</v>
      </c>
      <c r="J455" s="6" t="s">
        <v>2677</v>
      </c>
      <c r="K455" s="7" t="s">
        <v>2678</v>
      </c>
    </row>
    <row r="456" spans="1:11">
      <c r="A456" s="5">
        <v>615</v>
      </c>
      <c r="B456" s="5">
        <v>5</v>
      </c>
      <c r="C456" s="5" t="s">
        <v>403</v>
      </c>
      <c r="D456" s="5" t="s">
        <v>2679</v>
      </c>
      <c r="E456" s="5" t="s">
        <v>781</v>
      </c>
      <c r="F456" s="5" t="s">
        <v>782</v>
      </c>
      <c r="G456" s="6" t="s">
        <v>2680</v>
      </c>
      <c r="H456" s="5" t="s">
        <v>2681</v>
      </c>
      <c r="I456" s="5" t="s">
        <v>2363</v>
      </c>
      <c r="J456" s="6" t="s">
        <v>2682</v>
      </c>
      <c r="K456" s="7" t="s">
        <v>2683</v>
      </c>
    </row>
    <row r="457" spans="1:11">
      <c r="A457" s="5">
        <v>616</v>
      </c>
      <c r="B457" s="5">
        <v>5</v>
      </c>
      <c r="C457" s="5" t="s">
        <v>591</v>
      </c>
      <c r="D457" s="5">
        <v>2498</v>
      </c>
      <c r="E457" s="5" t="s">
        <v>781</v>
      </c>
      <c r="F457" s="5" t="s">
        <v>782</v>
      </c>
      <c r="G457" s="6" t="s">
        <v>2684</v>
      </c>
      <c r="H457" s="5" t="s">
        <v>2681</v>
      </c>
      <c r="I457" s="5" t="s">
        <v>2363</v>
      </c>
      <c r="J457" s="6" t="s">
        <v>2685</v>
      </c>
      <c r="K457" s="7" t="s">
        <v>2686</v>
      </c>
    </row>
    <row r="458" spans="1:11">
      <c r="A458" s="5">
        <v>617</v>
      </c>
      <c r="B458" s="5">
        <v>5</v>
      </c>
      <c r="C458" s="5" t="s">
        <v>673</v>
      </c>
      <c r="D458" s="5" t="s">
        <v>2687</v>
      </c>
      <c r="E458" s="5" t="s">
        <v>781</v>
      </c>
      <c r="F458" s="5" t="s">
        <v>782</v>
      </c>
      <c r="G458" s="6" t="s">
        <v>2688</v>
      </c>
      <c r="H458" s="5" t="s">
        <v>2689</v>
      </c>
      <c r="I458" s="5" t="s">
        <v>2363</v>
      </c>
      <c r="J458" s="6" t="s">
        <v>2690</v>
      </c>
      <c r="K458" s="7" t="s">
        <v>2691</v>
      </c>
    </row>
    <row r="459" spans="1:11">
      <c r="A459" s="5">
        <v>618</v>
      </c>
      <c r="B459" s="5">
        <v>5</v>
      </c>
      <c r="C459" s="5" t="s">
        <v>661</v>
      </c>
      <c r="D459" s="5">
        <v>2490</v>
      </c>
      <c r="E459" s="5" t="s">
        <v>781</v>
      </c>
      <c r="F459" s="5" t="s">
        <v>782</v>
      </c>
      <c r="G459" s="6" t="s">
        <v>2692</v>
      </c>
      <c r="H459" s="5" t="s">
        <v>2689</v>
      </c>
      <c r="I459" s="5" t="s">
        <v>2363</v>
      </c>
      <c r="J459" s="6" t="s">
        <v>2693</v>
      </c>
      <c r="K459" s="7" t="s">
        <v>2694</v>
      </c>
    </row>
    <row r="460" spans="1:11">
      <c r="A460" s="5">
        <v>619</v>
      </c>
      <c r="B460" s="5">
        <v>5</v>
      </c>
      <c r="C460" s="5" t="s">
        <v>667</v>
      </c>
      <c r="D460" s="5">
        <v>2492</v>
      </c>
      <c r="E460" s="5" t="s">
        <v>781</v>
      </c>
      <c r="F460" s="5" t="s">
        <v>782</v>
      </c>
      <c r="G460" s="6" t="s">
        <v>2695</v>
      </c>
      <c r="H460" s="5" t="s">
        <v>2689</v>
      </c>
      <c r="I460" s="5" t="s">
        <v>2363</v>
      </c>
      <c r="J460" s="6" t="s">
        <v>2696</v>
      </c>
      <c r="K460" s="7" t="s">
        <v>2697</v>
      </c>
    </row>
    <row r="461" spans="1:11">
      <c r="A461" s="5">
        <v>620</v>
      </c>
      <c r="B461" s="5">
        <v>5</v>
      </c>
      <c r="C461" s="5" t="s">
        <v>550</v>
      </c>
      <c r="D461" s="5">
        <v>2485</v>
      </c>
      <c r="E461" s="5" t="s">
        <v>781</v>
      </c>
      <c r="F461" s="5" t="s">
        <v>782</v>
      </c>
      <c r="G461" s="6" t="s">
        <v>2698</v>
      </c>
      <c r="H461" s="5" t="s">
        <v>2699</v>
      </c>
      <c r="I461" s="5" t="s">
        <v>2363</v>
      </c>
      <c r="J461" s="6" t="s">
        <v>2700</v>
      </c>
      <c r="K461" s="7" t="s">
        <v>2701</v>
      </c>
    </row>
    <row r="462" spans="1:11">
      <c r="A462" s="5">
        <v>621</v>
      </c>
      <c r="B462" s="5">
        <v>5</v>
      </c>
      <c r="C462" s="8" t="s">
        <v>793</v>
      </c>
      <c r="D462" s="8" t="s">
        <v>793</v>
      </c>
      <c r="E462" s="8" t="s">
        <v>793</v>
      </c>
      <c r="F462" s="5" t="s">
        <v>782</v>
      </c>
      <c r="G462" s="6" t="s">
        <v>2702</v>
      </c>
      <c r="H462" s="5" t="s">
        <v>2699</v>
      </c>
      <c r="I462" s="5" t="s">
        <v>2363</v>
      </c>
      <c r="J462" s="6" t="s">
        <v>2703</v>
      </c>
      <c r="K462" s="7" t="s">
        <v>2704</v>
      </c>
    </row>
    <row r="463" spans="1:11">
      <c r="A463" s="5">
        <v>622</v>
      </c>
      <c r="B463" s="5">
        <v>5</v>
      </c>
      <c r="C463" s="5" t="s">
        <v>373</v>
      </c>
      <c r="D463" s="5">
        <v>2450</v>
      </c>
      <c r="E463" s="5" t="s">
        <v>781</v>
      </c>
      <c r="F463" s="5" t="s">
        <v>821</v>
      </c>
      <c r="G463" s="6" t="s">
        <v>2705</v>
      </c>
      <c r="H463" s="5" t="s">
        <v>2706</v>
      </c>
      <c r="I463" s="5" t="s">
        <v>2363</v>
      </c>
      <c r="J463" s="6" t="s">
        <v>2707</v>
      </c>
      <c r="K463" s="7" t="s">
        <v>2708</v>
      </c>
    </row>
    <row r="464" spans="1:11">
      <c r="A464" s="5">
        <v>623</v>
      </c>
      <c r="B464" s="5">
        <v>5</v>
      </c>
      <c r="C464" s="5" t="s">
        <v>610</v>
      </c>
      <c r="D464" s="5">
        <v>2453</v>
      </c>
      <c r="E464" s="5" t="s">
        <v>799</v>
      </c>
      <c r="F464" s="5" t="s">
        <v>821</v>
      </c>
      <c r="G464" s="6" t="s">
        <v>2709</v>
      </c>
      <c r="H464" s="5" t="s">
        <v>2706</v>
      </c>
      <c r="I464" s="5" t="s">
        <v>2363</v>
      </c>
      <c r="J464" s="6" t="s">
        <v>2710</v>
      </c>
      <c r="K464" s="7" t="s">
        <v>2711</v>
      </c>
    </row>
    <row r="465" spans="1:11">
      <c r="A465" s="5">
        <v>624</v>
      </c>
      <c r="B465" s="5">
        <v>5</v>
      </c>
      <c r="C465" s="5" t="s">
        <v>622</v>
      </c>
      <c r="D465" s="5" t="s">
        <v>2712</v>
      </c>
      <c r="E465" s="5" t="s">
        <v>781</v>
      </c>
      <c r="F465" s="5" t="s">
        <v>821</v>
      </c>
      <c r="G465" s="6" t="s">
        <v>2713</v>
      </c>
      <c r="H465" s="5" t="s">
        <v>2706</v>
      </c>
      <c r="I465" s="5" t="s">
        <v>2363</v>
      </c>
      <c r="J465" s="6" t="s">
        <v>2714</v>
      </c>
      <c r="K465" s="26" t="s">
        <v>2715</v>
      </c>
    </row>
    <row r="466" spans="1:11">
      <c r="A466" s="5">
        <v>625</v>
      </c>
      <c r="B466" s="5">
        <v>5</v>
      </c>
      <c r="C466" s="5" t="s">
        <v>625</v>
      </c>
      <c r="D466" s="5" t="s">
        <v>2716</v>
      </c>
      <c r="E466" s="5" t="s">
        <v>781</v>
      </c>
      <c r="F466" s="5" t="s">
        <v>782</v>
      </c>
      <c r="G466" s="6" t="s">
        <v>2717</v>
      </c>
      <c r="H466" s="5" t="s">
        <v>2706</v>
      </c>
      <c r="I466" s="5" t="s">
        <v>2363</v>
      </c>
      <c r="J466" s="6" t="s">
        <v>2714</v>
      </c>
      <c r="K466" s="26" t="s">
        <v>2715</v>
      </c>
    </row>
    <row r="467" spans="1:11">
      <c r="A467" s="5">
        <v>626</v>
      </c>
      <c r="B467" s="5">
        <v>5</v>
      </c>
      <c r="C467" s="5" t="s">
        <v>418</v>
      </c>
      <c r="D467" s="5" t="s">
        <v>2718</v>
      </c>
      <c r="E467" s="5" t="s">
        <v>781</v>
      </c>
      <c r="F467" s="5" t="s">
        <v>782</v>
      </c>
      <c r="G467" s="6" t="s">
        <v>2719</v>
      </c>
      <c r="H467" s="5" t="s">
        <v>2706</v>
      </c>
      <c r="I467" s="5" t="s">
        <v>2363</v>
      </c>
      <c r="J467" s="6" t="s">
        <v>2720</v>
      </c>
      <c r="K467" s="7" t="s">
        <v>2721</v>
      </c>
    </row>
    <row r="468" spans="1:11">
      <c r="A468" s="5">
        <v>627</v>
      </c>
      <c r="B468" s="5">
        <v>5</v>
      </c>
      <c r="C468" s="5" t="s">
        <v>424</v>
      </c>
      <c r="D468" s="5" t="s">
        <v>2722</v>
      </c>
      <c r="E468" s="5" t="s">
        <v>781</v>
      </c>
      <c r="F468" s="5" t="s">
        <v>782</v>
      </c>
      <c r="G468" s="6" t="s">
        <v>2723</v>
      </c>
      <c r="H468" s="5" t="s">
        <v>2706</v>
      </c>
      <c r="I468" s="5" t="s">
        <v>2363</v>
      </c>
      <c r="J468" s="6" t="s">
        <v>2724</v>
      </c>
      <c r="K468" s="7" t="s">
        <v>2725</v>
      </c>
    </row>
    <row r="469" spans="1:11">
      <c r="A469" s="5">
        <v>628</v>
      </c>
      <c r="B469" s="5">
        <v>5</v>
      </c>
      <c r="C469" s="5" t="s">
        <v>430</v>
      </c>
      <c r="D469" s="5" t="s">
        <v>2726</v>
      </c>
      <c r="E469" s="5" t="s">
        <v>781</v>
      </c>
      <c r="F469" s="5" t="s">
        <v>782</v>
      </c>
      <c r="G469" s="6" t="s">
        <v>2727</v>
      </c>
      <c r="H469" s="5" t="s">
        <v>2706</v>
      </c>
      <c r="I469" s="5" t="s">
        <v>2363</v>
      </c>
      <c r="J469" s="6" t="s">
        <v>2707</v>
      </c>
      <c r="K469" s="7" t="s">
        <v>2708</v>
      </c>
    </row>
    <row r="470" spans="1:11">
      <c r="A470" s="5">
        <v>629</v>
      </c>
      <c r="B470" s="5">
        <v>5</v>
      </c>
      <c r="C470" s="5" t="s">
        <v>453</v>
      </c>
      <c r="D470" s="5" t="s">
        <v>2728</v>
      </c>
      <c r="E470" s="5" t="s">
        <v>781</v>
      </c>
      <c r="F470" s="5" t="s">
        <v>782</v>
      </c>
      <c r="G470" s="6" t="s">
        <v>2729</v>
      </c>
      <c r="H470" s="5" t="s">
        <v>2706</v>
      </c>
      <c r="I470" s="5" t="s">
        <v>2363</v>
      </c>
      <c r="J470" s="6" t="s">
        <v>2730</v>
      </c>
      <c r="K470" s="7" t="s">
        <v>2731</v>
      </c>
    </row>
    <row r="471" spans="1:11">
      <c r="A471" s="5">
        <v>630</v>
      </c>
      <c r="B471" s="5">
        <v>5</v>
      </c>
      <c r="C471" s="5" t="s">
        <v>470</v>
      </c>
      <c r="D471" s="5" t="s">
        <v>2732</v>
      </c>
      <c r="E471" s="5" t="s">
        <v>781</v>
      </c>
      <c r="F471" s="5" t="s">
        <v>782</v>
      </c>
      <c r="G471" s="6" t="s">
        <v>2733</v>
      </c>
      <c r="H471" s="5" t="s">
        <v>2706</v>
      </c>
      <c r="I471" s="5" t="s">
        <v>2363</v>
      </c>
      <c r="J471" s="6" t="s">
        <v>2734</v>
      </c>
      <c r="K471" s="7" t="s">
        <v>2735</v>
      </c>
    </row>
    <row r="472" spans="1:11">
      <c r="A472" s="5">
        <v>631</v>
      </c>
      <c r="B472" s="5">
        <v>5</v>
      </c>
      <c r="C472" s="5" t="s">
        <v>654</v>
      </c>
      <c r="D472" s="5" t="s">
        <v>2736</v>
      </c>
      <c r="E472" s="5" t="s">
        <v>781</v>
      </c>
      <c r="F472" s="5" t="s">
        <v>782</v>
      </c>
      <c r="G472" s="6" t="s">
        <v>2737</v>
      </c>
      <c r="H472" s="5" t="s">
        <v>2706</v>
      </c>
      <c r="I472" s="5" t="s">
        <v>2363</v>
      </c>
      <c r="J472" s="6" t="s">
        <v>2710</v>
      </c>
      <c r="K472" s="7" t="s">
        <v>2711</v>
      </c>
    </row>
    <row r="473" spans="1:11">
      <c r="A473" s="5">
        <v>632</v>
      </c>
      <c r="B473" s="5">
        <v>5</v>
      </c>
      <c r="C473" s="5" t="s">
        <v>559</v>
      </c>
      <c r="D473" s="5">
        <v>2489</v>
      </c>
      <c r="E473" s="5" t="s">
        <v>799</v>
      </c>
      <c r="F473" s="5" t="s">
        <v>782</v>
      </c>
      <c r="G473" s="6" t="s">
        <v>2738</v>
      </c>
      <c r="H473" s="5" t="s">
        <v>2706</v>
      </c>
      <c r="I473" s="5" t="s">
        <v>2363</v>
      </c>
      <c r="J473" s="6" t="s">
        <v>2739</v>
      </c>
      <c r="K473" s="7" t="s">
        <v>2740</v>
      </c>
    </row>
    <row r="474" spans="1:11">
      <c r="A474" s="5">
        <v>633</v>
      </c>
      <c r="B474" s="5">
        <v>5</v>
      </c>
      <c r="C474" s="5" t="s">
        <v>607</v>
      </c>
      <c r="D474" s="5" t="s">
        <v>2741</v>
      </c>
      <c r="E474" s="5" t="s">
        <v>781</v>
      </c>
      <c r="F474" s="5" t="s">
        <v>782</v>
      </c>
      <c r="G474" s="6" t="s">
        <v>2742</v>
      </c>
      <c r="H474" s="5" t="s">
        <v>2706</v>
      </c>
      <c r="I474" s="5" t="s">
        <v>2363</v>
      </c>
      <c r="J474" s="6" t="s">
        <v>2743</v>
      </c>
      <c r="K474" s="7" t="s">
        <v>2744</v>
      </c>
    </row>
    <row r="475" spans="1:11">
      <c r="A475" s="5">
        <v>634</v>
      </c>
      <c r="B475" s="5">
        <v>5</v>
      </c>
      <c r="C475" s="5" t="s">
        <v>793</v>
      </c>
      <c r="D475" s="5" t="s">
        <v>793</v>
      </c>
      <c r="E475" s="8" t="s">
        <v>793</v>
      </c>
      <c r="F475" s="5" t="s">
        <v>782</v>
      </c>
      <c r="G475" s="6" t="s">
        <v>2745</v>
      </c>
      <c r="H475" s="5" t="s">
        <v>2706</v>
      </c>
      <c r="I475" s="5" t="s">
        <v>2363</v>
      </c>
      <c r="J475" s="6" t="s">
        <v>2743</v>
      </c>
      <c r="K475" s="7" t="s">
        <v>2746</v>
      </c>
    </row>
    <row r="476" spans="1:11">
      <c r="A476" s="5">
        <v>635</v>
      </c>
      <c r="B476" s="5">
        <v>5</v>
      </c>
      <c r="C476" s="5" t="s">
        <v>691</v>
      </c>
      <c r="D476" s="5" t="s">
        <v>2747</v>
      </c>
      <c r="E476" s="5" t="s">
        <v>781</v>
      </c>
      <c r="F476" s="5" t="s">
        <v>782</v>
      </c>
      <c r="G476" s="6" t="s">
        <v>2748</v>
      </c>
      <c r="H476" s="5" t="s">
        <v>2749</v>
      </c>
      <c r="I476" s="5" t="s">
        <v>2363</v>
      </c>
      <c r="J476" s="6" t="s">
        <v>2750</v>
      </c>
      <c r="K476" s="7" t="s">
        <v>2751</v>
      </c>
    </row>
    <row r="477" spans="1:11">
      <c r="A477" s="5">
        <v>636</v>
      </c>
      <c r="B477" s="5">
        <v>5</v>
      </c>
      <c r="C477" s="5" t="s">
        <v>700</v>
      </c>
      <c r="D477" s="5">
        <v>2497</v>
      </c>
      <c r="E477" s="5" t="s">
        <v>781</v>
      </c>
      <c r="F477" s="5" t="s">
        <v>782</v>
      </c>
      <c r="G477" s="6" t="s">
        <v>2752</v>
      </c>
      <c r="H477" s="5" t="s">
        <v>2749</v>
      </c>
      <c r="I477" s="5" t="s">
        <v>2363</v>
      </c>
      <c r="J477" s="6" t="s">
        <v>2753</v>
      </c>
      <c r="K477" s="7" t="s">
        <v>2754</v>
      </c>
    </row>
    <row r="478" spans="1:11">
      <c r="A478" s="5">
        <v>637</v>
      </c>
      <c r="B478" s="5">
        <v>5</v>
      </c>
      <c r="C478" s="5" t="s">
        <v>391</v>
      </c>
      <c r="D478" s="5" t="s">
        <v>2755</v>
      </c>
      <c r="E478" s="5" t="s">
        <v>781</v>
      </c>
      <c r="F478" s="5" t="s">
        <v>782</v>
      </c>
      <c r="G478" s="6" t="s">
        <v>2756</v>
      </c>
      <c r="H478" s="5" t="s">
        <v>2757</v>
      </c>
      <c r="I478" s="5" t="s">
        <v>2363</v>
      </c>
      <c r="J478" s="6" t="s">
        <v>2758</v>
      </c>
      <c r="K478" s="7" t="s">
        <v>2759</v>
      </c>
    </row>
    <row r="479" spans="1:11">
      <c r="A479" s="5">
        <v>638</v>
      </c>
      <c r="B479" s="5">
        <v>5</v>
      </c>
      <c r="C479" s="5" t="s">
        <v>577</v>
      </c>
      <c r="D479" s="5" t="s">
        <v>2760</v>
      </c>
      <c r="E479" s="5" t="s">
        <v>781</v>
      </c>
      <c r="F479" s="5" t="s">
        <v>782</v>
      </c>
      <c r="G479" s="6" t="s">
        <v>2761</v>
      </c>
      <c r="H479" s="5" t="s">
        <v>2757</v>
      </c>
      <c r="I479" s="5" t="s">
        <v>2363</v>
      </c>
      <c r="J479" s="6" t="s">
        <v>2762</v>
      </c>
      <c r="K479" s="7" t="s">
        <v>2763</v>
      </c>
    </row>
    <row r="480" spans="1:11">
      <c r="A480" s="5">
        <v>639</v>
      </c>
      <c r="B480" s="5">
        <v>5</v>
      </c>
      <c r="C480" s="5" t="s">
        <v>483</v>
      </c>
      <c r="D480" s="5" t="s">
        <v>2764</v>
      </c>
      <c r="E480" s="5" t="s">
        <v>781</v>
      </c>
      <c r="F480" s="5" t="s">
        <v>782</v>
      </c>
      <c r="G480" s="6" t="s">
        <v>2765</v>
      </c>
      <c r="H480" s="5" t="s">
        <v>2766</v>
      </c>
      <c r="I480" s="5" t="s">
        <v>2363</v>
      </c>
      <c r="J480" s="6" t="s">
        <v>2767</v>
      </c>
      <c r="K480" s="7" t="s">
        <v>2768</v>
      </c>
    </row>
    <row r="481" spans="1:11">
      <c r="A481" s="5">
        <v>640</v>
      </c>
      <c r="B481" s="5">
        <v>5</v>
      </c>
      <c r="C481" s="5" t="s">
        <v>538</v>
      </c>
      <c r="D481" s="5" t="s">
        <v>2769</v>
      </c>
      <c r="E481" s="5" t="s">
        <v>781</v>
      </c>
      <c r="F481" s="5" t="s">
        <v>782</v>
      </c>
      <c r="G481" s="6" t="s">
        <v>2770</v>
      </c>
      <c r="H481" s="5" t="s">
        <v>2766</v>
      </c>
      <c r="I481" s="5" t="s">
        <v>2363</v>
      </c>
      <c r="J481" s="6" t="s">
        <v>2771</v>
      </c>
      <c r="K481" s="7" t="s">
        <v>2772</v>
      </c>
    </row>
    <row r="482" spans="1:11">
      <c r="A482" s="5">
        <v>641</v>
      </c>
      <c r="B482" s="5">
        <v>5</v>
      </c>
      <c r="C482" s="5" t="s">
        <v>421</v>
      </c>
      <c r="D482" s="5" t="s">
        <v>2773</v>
      </c>
      <c r="E482" s="5" t="s">
        <v>781</v>
      </c>
      <c r="F482" s="5" t="s">
        <v>782</v>
      </c>
      <c r="G482" s="6" t="s">
        <v>2774</v>
      </c>
      <c r="H482" s="5" t="s">
        <v>2775</v>
      </c>
      <c r="I482" s="5" t="s">
        <v>2363</v>
      </c>
      <c r="J482" s="6" t="s">
        <v>2776</v>
      </c>
      <c r="K482" s="7" t="s">
        <v>2777</v>
      </c>
    </row>
    <row r="483" spans="1:11">
      <c r="A483" s="5">
        <v>642</v>
      </c>
      <c r="B483" s="5">
        <v>5</v>
      </c>
      <c r="C483" s="5" t="s">
        <v>447</v>
      </c>
      <c r="D483" s="5" t="s">
        <v>2778</v>
      </c>
      <c r="E483" s="5" t="s">
        <v>781</v>
      </c>
      <c r="F483" s="5" t="s">
        <v>782</v>
      </c>
      <c r="G483" s="6" t="s">
        <v>2779</v>
      </c>
      <c r="H483" s="5" t="s">
        <v>2775</v>
      </c>
      <c r="I483" s="5" t="s">
        <v>2363</v>
      </c>
      <c r="J483" s="6" t="s">
        <v>2780</v>
      </c>
      <c r="K483" s="7" t="s">
        <v>2781</v>
      </c>
    </row>
    <row r="484" spans="1:11">
      <c r="A484" s="5">
        <v>643</v>
      </c>
      <c r="B484" s="5">
        <v>5</v>
      </c>
      <c r="C484" s="5" t="s">
        <v>370</v>
      </c>
      <c r="D484" s="5" t="s">
        <v>2782</v>
      </c>
      <c r="E484" s="5" t="s">
        <v>781</v>
      </c>
      <c r="F484" s="5" t="s">
        <v>782</v>
      </c>
      <c r="G484" s="6" t="s">
        <v>2783</v>
      </c>
      <c r="H484" s="5" t="s">
        <v>2775</v>
      </c>
      <c r="I484" s="5" t="s">
        <v>2363</v>
      </c>
      <c r="J484" s="6" t="s">
        <v>2784</v>
      </c>
      <c r="K484" s="7" t="s">
        <v>2785</v>
      </c>
    </row>
    <row r="485" spans="1:11">
      <c r="A485" s="5">
        <v>644</v>
      </c>
      <c r="B485" s="5">
        <v>5</v>
      </c>
      <c r="C485" s="5" t="s">
        <v>658</v>
      </c>
      <c r="D485" s="5" t="s">
        <v>2786</v>
      </c>
      <c r="E485" s="5" t="s">
        <v>799</v>
      </c>
      <c r="F485" s="5" t="s">
        <v>782</v>
      </c>
      <c r="G485" s="6" t="s">
        <v>2787</v>
      </c>
      <c r="H485" s="5" t="s">
        <v>2775</v>
      </c>
      <c r="I485" s="5" t="s">
        <v>2363</v>
      </c>
      <c r="J485" s="6" t="s">
        <v>2788</v>
      </c>
      <c r="K485" s="7" t="s">
        <v>2789</v>
      </c>
    </row>
    <row r="486" spans="1:11">
      <c r="A486" s="5">
        <v>645</v>
      </c>
      <c r="B486" s="5">
        <v>5</v>
      </c>
      <c r="C486" s="5" t="s">
        <v>427</v>
      </c>
      <c r="D486" s="5" t="s">
        <v>2790</v>
      </c>
      <c r="E486" s="5" t="s">
        <v>781</v>
      </c>
      <c r="F486" s="5" t="s">
        <v>782</v>
      </c>
      <c r="G486" s="6" t="s">
        <v>2791</v>
      </c>
      <c r="H486" s="5" t="s">
        <v>2792</v>
      </c>
      <c r="I486" s="5" t="s">
        <v>2363</v>
      </c>
      <c r="J486" s="6" t="s">
        <v>2793</v>
      </c>
      <c r="K486" s="7" t="s">
        <v>2794</v>
      </c>
    </row>
    <row r="487" spans="1:11">
      <c r="A487" s="5">
        <v>646</v>
      </c>
      <c r="B487" s="5">
        <v>5</v>
      </c>
      <c r="C487" s="5" t="s">
        <v>541</v>
      </c>
      <c r="D487" s="5">
        <v>2480</v>
      </c>
      <c r="E487" s="5" t="s">
        <v>781</v>
      </c>
      <c r="F487" s="5" t="s">
        <v>782</v>
      </c>
      <c r="G487" s="6" t="s">
        <v>2795</v>
      </c>
      <c r="H487" s="5" t="s">
        <v>2792</v>
      </c>
      <c r="I487" s="5" t="s">
        <v>2363</v>
      </c>
      <c r="J487" s="6" t="s">
        <v>2796</v>
      </c>
      <c r="K487" s="7" t="s">
        <v>2797</v>
      </c>
    </row>
    <row r="488" spans="1:11">
      <c r="A488" s="5">
        <v>647</v>
      </c>
      <c r="B488" s="5">
        <v>5</v>
      </c>
      <c r="C488" s="5" t="s">
        <v>544</v>
      </c>
      <c r="D488" s="5">
        <v>2483</v>
      </c>
      <c r="E488" s="5" t="s">
        <v>781</v>
      </c>
      <c r="F488" s="5" t="s">
        <v>782</v>
      </c>
      <c r="G488" s="6" t="s">
        <v>2798</v>
      </c>
      <c r="H488" s="5" t="s">
        <v>2792</v>
      </c>
      <c r="I488" s="5" t="s">
        <v>2363</v>
      </c>
      <c r="J488" s="6" t="s">
        <v>2799</v>
      </c>
      <c r="K488" s="7" t="s">
        <v>2800</v>
      </c>
    </row>
    <row r="489" spans="1:11">
      <c r="A489" s="5">
        <v>648</v>
      </c>
      <c r="B489" s="5">
        <v>5</v>
      </c>
      <c r="C489" s="5" t="s">
        <v>580</v>
      </c>
      <c r="D489" s="5" t="s">
        <v>2801</v>
      </c>
      <c r="E489" s="5" t="s">
        <v>781</v>
      </c>
      <c r="F489" s="5" t="s">
        <v>821</v>
      </c>
      <c r="G489" s="6" t="s">
        <v>2802</v>
      </c>
      <c r="H489" s="5" t="s">
        <v>2792</v>
      </c>
      <c r="I489" s="5" t="s">
        <v>2363</v>
      </c>
      <c r="J489" s="6" t="s">
        <v>2796</v>
      </c>
      <c r="K489" s="7" t="s">
        <v>2797</v>
      </c>
    </row>
    <row r="490" spans="1:11">
      <c r="A490" s="5">
        <v>649</v>
      </c>
      <c r="B490" s="5">
        <v>5</v>
      </c>
      <c r="C490" s="5"/>
      <c r="D490" s="5"/>
      <c r="E490" s="5"/>
      <c r="F490" s="5" t="s">
        <v>782</v>
      </c>
      <c r="G490" s="6" t="s">
        <v>2803</v>
      </c>
      <c r="H490" s="5" t="s">
        <v>2792</v>
      </c>
      <c r="I490" s="5" t="s">
        <v>2363</v>
      </c>
      <c r="J490" s="6" t="s">
        <v>2804</v>
      </c>
      <c r="K490" s="26" t="s">
        <v>2805</v>
      </c>
    </row>
    <row r="491" spans="1:11">
      <c r="A491" s="5">
        <v>650</v>
      </c>
      <c r="B491" s="5">
        <v>5</v>
      </c>
      <c r="C491" s="5" t="s">
        <v>793</v>
      </c>
      <c r="D491" s="5" t="s">
        <v>793</v>
      </c>
      <c r="E491" s="8" t="s">
        <v>793</v>
      </c>
      <c r="F491" s="5" t="s">
        <v>782</v>
      </c>
      <c r="G491" s="6" t="s">
        <v>2806</v>
      </c>
      <c r="H491" s="5" t="s">
        <v>2807</v>
      </c>
      <c r="I491" s="5" t="s">
        <v>2363</v>
      </c>
      <c r="J491" s="6" t="s">
        <v>2808</v>
      </c>
      <c r="K491" s="7" t="s">
        <v>2809</v>
      </c>
    </row>
    <row r="492" spans="1:11">
      <c r="A492" s="5">
        <v>651</v>
      </c>
      <c r="B492" s="5">
        <v>5</v>
      </c>
      <c r="C492" s="5" t="s">
        <v>441</v>
      </c>
      <c r="D492" s="5">
        <v>2468</v>
      </c>
      <c r="E492" s="5" t="s">
        <v>781</v>
      </c>
      <c r="F492" s="5" t="s">
        <v>782</v>
      </c>
      <c r="G492" s="6" t="s">
        <v>2810</v>
      </c>
      <c r="H492" s="5" t="s">
        <v>2811</v>
      </c>
      <c r="I492" s="5" t="s">
        <v>2363</v>
      </c>
      <c r="J492" s="6" t="s">
        <v>2812</v>
      </c>
      <c r="K492" s="7" t="s">
        <v>2813</v>
      </c>
    </row>
    <row r="493" spans="1:11">
      <c r="A493" s="5">
        <v>652</v>
      </c>
      <c r="B493" s="5">
        <v>5</v>
      </c>
      <c r="C493" s="5" t="s">
        <v>529</v>
      </c>
      <c r="D493" s="5" t="s">
        <v>2814</v>
      </c>
      <c r="E493" s="5" t="s">
        <v>781</v>
      </c>
      <c r="F493" s="5" t="s">
        <v>782</v>
      </c>
      <c r="G493" s="6" t="s">
        <v>2815</v>
      </c>
      <c r="H493" s="5" t="s">
        <v>2816</v>
      </c>
      <c r="I493" s="5" t="s">
        <v>2363</v>
      </c>
      <c r="J493" s="6" t="s">
        <v>2817</v>
      </c>
      <c r="K493" s="7" t="s">
        <v>2818</v>
      </c>
    </row>
    <row r="494" spans="1:11">
      <c r="A494" s="5">
        <v>653</v>
      </c>
      <c r="B494" s="5">
        <v>5</v>
      </c>
      <c r="C494" s="5" t="s">
        <v>571</v>
      </c>
      <c r="D494" s="5" t="s">
        <v>2819</v>
      </c>
      <c r="E494" s="5" t="s">
        <v>781</v>
      </c>
      <c r="F494" s="5" t="s">
        <v>782</v>
      </c>
      <c r="G494" s="6" t="s">
        <v>2820</v>
      </c>
      <c r="H494" s="5" t="s">
        <v>2816</v>
      </c>
      <c r="I494" s="5" t="s">
        <v>2363</v>
      </c>
      <c r="J494" s="6" t="s">
        <v>2821</v>
      </c>
      <c r="K494" s="7" t="s">
        <v>2822</v>
      </c>
    </row>
    <row r="495" spans="1:11">
      <c r="A495" s="5">
        <v>654</v>
      </c>
      <c r="B495" s="5">
        <v>5</v>
      </c>
      <c r="C495" s="5" t="s">
        <v>645</v>
      </c>
      <c r="D495" s="5">
        <v>2474</v>
      </c>
      <c r="E495" s="5" t="s">
        <v>799</v>
      </c>
      <c r="F495" s="5" t="s">
        <v>782</v>
      </c>
      <c r="G495" s="6" t="s">
        <v>2823</v>
      </c>
      <c r="H495" s="5" t="s">
        <v>2824</v>
      </c>
      <c r="I495" s="5" t="s">
        <v>2363</v>
      </c>
      <c r="J495" s="6" t="s">
        <v>2825</v>
      </c>
      <c r="K495" s="7" t="s">
        <v>2826</v>
      </c>
    </row>
    <row r="496" spans="1:11">
      <c r="A496" s="5">
        <v>655</v>
      </c>
      <c r="B496" s="5">
        <v>5</v>
      </c>
      <c r="C496" s="5" t="s">
        <v>435</v>
      </c>
      <c r="D496" s="5">
        <v>2466</v>
      </c>
      <c r="E496" s="5" t="s">
        <v>799</v>
      </c>
      <c r="F496" s="5" t="s">
        <v>782</v>
      </c>
      <c r="G496" s="6" t="s">
        <v>2827</v>
      </c>
      <c r="H496" s="5" t="s">
        <v>2828</v>
      </c>
      <c r="I496" s="5" t="s">
        <v>2363</v>
      </c>
      <c r="J496" s="6" t="s">
        <v>2829</v>
      </c>
      <c r="K496" s="7" t="s">
        <v>2830</v>
      </c>
    </row>
    <row r="497" spans="1:11">
      <c r="A497" s="5">
        <v>656</v>
      </c>
      <c r="B497" s="5">
        <v>5</v>
      </c>
      <c r="C497" s="5" t="s">
        <v>581</v>
      </c>
      <c r="D497" s="5">
        <v>2493</v>
      </c>
      <c r="E497" s="5" t="s">
        <v>799</v>
      </c>
      <c r="F497" s="5" t="s">
        <v>782</v>
      </c>
      <c r="G497" s="6" t="s">
        <v>2831</v>
      </c>
      <c r="H497" s="5" t="s">
        <v>2828</v>
      </c>
      <c r="I497" s="5" t="s">
        <v>2363</v>
      </c>
      <c r="J497" s="6" t="s">
        <v>2832</v>
      </c>
      <c r="K497" s="7" t="s">
        <v>2833</v>
      </c>
    </row>
    <row r="498" spans="1:11">
      <c r="A498" s="5">
        <v>657</v>
      </c>
      <c r="B498" s="5">
        <v>5</v>
      </c>
      <c r="C498" s="5" t="s">
        <v>664</v>
      </c>
      <c r="D498" s="5">
        <v>2491</v>
      </c>
      <c r="E498" s="5" t="s">
        <v>781</v>
      </c>
      <c r="F498" s="5" t="s">
        <v>782</v>
      </c>
      <c r="G498" s="6" t="s">
        <v>2834</v>
      </c>
      <c r="H498" s="5" t="s">
        <v>2835</v>
      </c>
      <c r="I498" s="5" t="s">
        <v>2363</v>
      </c>
      <c r="J498" s="6" t="s">
        <v>2836</v>
      </c>
      <c r="K498" s="7" t="s">
        <v>2837</v>
      </c>
    </row>
    <row r="499" spans="1:11">
      <c r="A499" s="5">
        <v>658</v>
      </c>
      <c r="B499" s="5">
        <v>5</v>
      </c>
      <c r="C499" s="5" t="s">
        <v>385</v>
      </c>
      <c r="D499" s="5">
        <v>2456</v>
      </c>
      <c r="E499" s="5" t="s">
        <v>781</v>
      </c>
      <c r="F499" s="5" t="s">
        <v>821</v>
      </c>
      <c r="G499" s="6" t="s">
        <v>2838</v>
      </c>
      <c r="H499" s="5" t="s">
        <v>2839</v>
      </c>
      <c r="I499" s="5" t="s">
        <v>2363</v>
      </c>
      <c r="J499" s="6" t="s">
        <v>2840</v>
      </c>
      <c r="K499" s="7" t="s">
        <v>2841</v>
      </c>
    </row>
    <row r="500" spans="1:11">
      <c r="A500" s="5">
        <v>659</v>
      </c>
      <c r="B500" s="5">
        <v>5</v>
      </c>
      <c r="C500" s="5" t="s">
        <v>632</v>
      </c>
      <c r="D500" s="5">
        <v>2462</v>
      </c>
      <c r="E500" s="5" t="s">
        <v>781</v>
      </c>
      <c r="F500" s="5" t="s">
        <v>821</v>
      </c>
      <c r="G500" s="6" t="s">
        <v>2842</v>
      </c>
      <c r="H500" s="5" t="s">
        <v>2839</v>
      </c>
      <c r="I500" s="5" t="s">
        <v>2363</v>
      </c>
      <c r="J500" s="6" t="s">
        <v>2843</v>
      </c>
      <c r="K500" s="7" t="s">
        <v>2844</v>
      </c>
    </row>
    <row r="501" spans="1:11">
      <c r="A501" s="5">
        <v>660</v>
      </c>
      <c r="B501" s="5">
        <v>5</v>
      </c>
      <c r="C501" s="5" t="s">
        <v>462</v>
      </c>
      <c r="D501" s="5" t="s">
        <v>2845</v>
      </c>
      <c r="E501" s="5" t="s">
        <v>781</v>
      </c>
      <c r="F501" s="5" t="s">
        <v>782</v>
      </c>
      <c r="G501" s="6" t="s">
        <v>2846</v>
      </c>
      <c r="H501" s="5" t="s">
        <v>2839</v>
      </c>
      <c r="I501" s="5" t="s">
        <v>2363</v>
      </c>
      <c r="J501" s="6" t="s">
        <v>2840</v>
      </c>
      <c r="K501" s="7" t="s">
        <v>2841</v>
      </c>
    </row>
    <row r="502" spans="1:11">
      <c r="A502" s="5">
        <v>661</v>
      </c>
      <c r="B502" s="5">
        <v>5</v>
      </c>
      <c r="C502" s="5" t="s">
        <v>464</v>
      </c>
      <c r="D502" s="5" t="s">
        <v>2847</v>
      </c>
      <c r="E502" s="5" t="s">
        <v>781</v>
      </c>
      <c r="F502" s="5" t="s">
        <v>782</v>
      </c>
      <c r="G502" s="6" t="s">
        <v>2848</v>
      </c>
      <c r="H502" s="5" t="s">
        <v>2839</v>
      </c>
      <c r="I502" s="5" t="s">
        <v>2363</v>
      </c>
      <c r="J502" s="6" t="s">
        <v>2849</v>
      </c>
      <c r="K502" s="7" t="s">
        <v>2850</v>
      </c>
    </row>
    <row r="503" spans="1:11">
      <c r="A503" s="5">
        <v>662</v>
      </c>
      <c r="B503" s="5">
        <v>5</v>
      </c>
      <c r="C503" s="5" t="s">
        <v>547</v>
      </c>
      <c r="D503" s="5">
        <v>2484</v>
      </c>
      <c r="E503" s="5" t="s">
        <v>781</v>
      </c>
      <c r="F503" s="5" t="s">
        <v>782</v>
      </c>
      <c r="G503" s="6" t="s">
        <v>2851</v>
      </c>
      <c r="H503" s="5" t="s">
        <v>2839</v>
      </c>
      <c r="I503" s="5" t="s">
        <v>2363</v>
      </c>
      <c r="J503" s="6" t="s">
        <v>2852</v>
      </c>
      <c r="K503" s="7" t="s">
        <v>2853</v>
      </c>
    </row>
    <row r="504" spans="1:11">
      <c r="A504" s="5">
        <v>663</v>
      </c>
      <c r="B504" s="5">
        <v>5</v>
      </c>
      <c r="C504" s="5" t="s">
        <v>562</v>
      </c>
      <c r="D504" s="5" t="s">
        <v>2854</v>
      </c>
      <c r="E504" s="5" t="s">
        <v>781</v>
      </c>
      <c r="F504" s="5" t="s">
        <v>782</v>
      </c>
      <c r="G504" s="6" t="s">
        <v>2855</v>
      </c>
      <c r="H504" s="5" t="s">
        <v>2839</v>
      </c>
      <c r="I504" s="5" t="s">
        <v>2363</v>
      </c>
      <c r="J504" s="6" t="s">
        <v>2856</v>
      </c>
      <c r="K504" s="26" t="s">
        <v>2857</v>
      </c>
    </row>
    <row r="505" spans="1:11">
      <c r="A505" s="5">
        <v>664</v>
      </c>
      <c r="B505" s="5">
        <v>5</v>
      </c>
      <c r="C505" s="5" t="s">
        <v>603</v>
      </c>
      <c r="D505" s="5" t="s">
        <v>2858</v>
      </c>
      <c r="E505" s="5" t="s">
        <v>781</v>
      </c>
      <c r="F505" s="5" t="s">
        <v>782</v>
      </c>
      <c r="G505" s="6" t="s">
        <v>2859</v>
      </c>
      <c r="H505" s="5" t="s">
        <v>2839</v>
      </c>
      <c r="I505" s="5" t="s">
        <v>2363</v>
      </c>
      <c r="J505" s="6" t="s">
        <v>2843</v>
      </c>
      <c r="K505" s="7" t="s">
        <v>2844</v>
      </c>
    </row>
    <row r="506" spans="1:11">
      <c r="A506" s="5">
        <v>665</v>
      </c>
      <c r="B506" s="5">
        <v>5</v>
      </c>
      <c r="C506" s="5" t="s">
        <v>584</v>
      </c>
      <c r="D506" s="5">
        <v>2494</v>
      </c>
      <c r="E506" s="5" t="s">
        <v>799</v>
      </c>
      <c r="F506" s="5" t="s">
        <v>782</v>
      </c>
      <c r="G506" s="6" t="s">
        <v>2860</v>
      </c>
      <c r="H506" s="5" t="s">
        <v>2839</v>
      </c>
      <c r="I506" s="5" t="s">
        <v>2363</v>
      </c>
      <c r="J506" s="6" t="s">
        <v>2861</v>
      </c>
      <c r="K506" s="7" t="s">
        <v>2862</v>
      </c>
    </row>
    <row r="507" spans="1:11">
      <c r="A507" s="5">
        <v>666</v>
      </c>
      <c r="B507" s="5">
        <v>5</v>
      </c>
      <c r="C507" s="5" t="s">
        <v>606</v>
      </c>
      <c r="D507" s="5" t="s">
        <v>2863</v>
      </c>
      <c r="E507" s="5" t="s">
        <v>799</v>
      </c>
      <c r="F507" s="5" t="s">
        <v>821</v>
      </c>
      <c r="G507" s="6" t="s">
        <v>2860</v>
      </c>
      <c r="H507" s="5" t="s">
        <v>2839</v>
      </c>
      <c r="I507" s="5" t="s">
        <v>2363</v>
      </c>
      <c r="J507" s="6" t="s">
        <v>2861</v>
      </c>
      <c r="K507" s="7" t="s">
        <v>2862</v>
      </c>
    </row>
    <row r="508" spans="1:11">
      <c r="A508" s="5">
        <v>667</v>
      </c>
      <c r="B508" s="5">
        <v>5</v>
      </c>
      <c r="C508" s="5" t="s">
        <v>2864</v>
      </c>
      <c r="D508" s="5" t="s">
        <v>2865</v>
      </c>
      <c r="E508" s="5" t="s">
        <v>799</v>
      </c>
      <c r="F508" s="5" t="s">
        <v>782</v>
      </c>
      <c r="G508" s="6" t="s">
        <v>2866</v>
      </c>
      <c r="H508" s="5" t="s">
        <v>2867</v>
      </c>
      <c r="I508" s="5" t="s">
        <v>2868</v>
      </c>
      <c r="J508" s="6" t="s">
        <v>2869</v>
      </c>
      <c r="K508" s="7" t="s">
        <v>2870</v>
      </c>
    </row>
    <row r="509" spans="1:11">
      <c r="A509" s="5">
        <v>668</v>
      </c>
      <c r="B509" s="5">
        <v>5</v>
      </c>
      <c r="C509" s="5" t="s">
        <v>2871</v>
      </c>
      <c r="D509" s="5" t="s">
        <v>2872</v>
      </c>
      <c r="E509" s="5" t="s">
        <v>781</v>
      </c>
      <c r="F509" s="5" t="s">
        <v>782</v>
      </c>
      <c r="G509" s="6" t="s">
        <v>2873</v>
      </c>
      <c r="H509" s="5" t="s">
        <v>2874</v>
      </c>
      <c r="I509" s="5" t="s">
        <v>2868</v>
      </c>
      <c r="J509" s="6" t="s">
        <v>2875</v>
      </c>
      <c r="K509" s="7" t="s">
        <v>2876</v>
      </c>
    </row>
    <row r="510" spans="1:11">
      <c r="A510" s="5">
        <v>669</v>
      </c>
      <c r="B510" s="5">
        <v>5</v>
      </c>
      <c r="C510" s="5" t="s">
        <v>2877</v>
      </c>
      <c r="D510" s="5" t="s">
        <v>2878</v>
      </c>
      <c r="E510" s="5" t="s">
        <v>781</v>
      </c>
      <c r="F510" s="5" t="s">
        <v>782</v>
      </c>
      <c r="G510" s="6" t="s">
        <v>2879</v>
      </c>
      <c r="H510" s="5" t="s">
        <v>2874</v>
      </c>
      <c r="I510" s="5" t="s">
        <v>2868</v>
      </c>
      <c r="J510" s="6" t="s">
        <v>2880</v>
      </c>
      <c r="K510" s="7" t="s">
        <v>2881</v>
      </c>
    </row>
    <row r="511" spans="1:11">
      <c r="A511" s="5">
        <v>670</v>
      </c>
      <c r="B511" s="5">
        <v>5</v>
      </c>
      <c r="C511" s="5" t="s">
        <v>2882</v>
      </c>
      <c r="D511" s="5" t="s">
        <v>2883</v>
      </c>
      <c r="E511" s="5" t="s">
        <v>781</v>
      </c>
      <c r="F511" s="5" t="s">
        <v>782</v>
      </c>
      <c r="G511" s="6" t="s">
        <v>2884</v>
      </c>
      <c r="H511" s="5" t="s">
        <v>2874</v>
      </c>
      <c r="I511" s="5" t="s">
        <v>2868</v>
      </c>
      <c r="J511" s="6" t="s">
        <v>2885</v>
      </c>
      <c r="K511" s="7" t="s">
        <v>2886</v>
      </c>
    </row>
    <row r="512" spans="1:11">
      <c r="A512" s="5">
        <v>671</v>
      </c>
      <c r="B512" s="5">
        <v>5</v>
      </c>
      <c r="C512" s="5" t="s">
        <v>2887</v>
      </c>
      <c r="D512" s="5" t="s">
        <v>2888</v>
      </c>
      <c r="E512" s="5" t="s">
        <v>781</v>
      </c>
      <c r="F512" s="5" t="s">
        <v>782</v>
      </c>
      <c r="G512" s="6" t="s">
        <v>2889</v>
      </c>
      <c r="H512" s="5" t="s">
        <v>2890</v>
      </c>
      <c r="I512" s="5" t="s">
        <v>2868</v>
      </c>
      <c r="J512" s="6" t="s">
        <v>2891</v>
      </c>
      <c r="K512" s="7" t="s">
        <v>2892</v>
      </c>
    </row>
    <row r="513" spans="1:11">
      <c r="A513" s="5">
        <v>672</v>
      </c>
      <c r="B513" s="5">
        <v>5</v>
      </c>
      <c r="C513" s="5" t="s">
        <v>2893</v>
      </c>
      <c r="D513" s="5" t="s">
        <v>2894</v>
      </c>
      <c r="E513" s="5" t="s">
        <v>781</v>
      </c>
      <c r="F513" s="5" t="s">
        <v>782</v>
      </c>
      <c r="G513" s="6" t="s">
        <v>2895</v>
      </c>
      <c r="H513" s="5" t="s">
        <v>2890</v>
      </c>
      <c r="I513" s="5" t="s">
        <v>2868</v>
      </c>
      <c r="J513" s="6" t="s">
        <v>2896</v>
      </c>
      <c r="K513" s="7" t="s">
        <v>2897</v>
      </c>
    </row>
    <row r="514" spans="1:11">
      <c r="A514" s="5">
        <v>673</v>
      </c>
      <c r="B514" s="5">
        <v>5</v>
      </c>
      <c r="C514" s="5" t="s">
        <v>2898</v>
      </c>
      <c r="D514" s="5" t="s">
        <v>2899</v>
      </c>
      <c r="E514" s="5" t="s">
        <v>781</v>
      </c>
      <c r="F514" s="5" t="s">
        <v>782</v>
      </c>
      <c r="G514" s="6" t="s">
        <v>2900</v>
      </c>
      <c r="H514" s="5" t="s">
        <v>2901</v>
      </c>
      <c r="I514" s="5" t="s">
        <v>2868</v>
      </c>
      <c r="J514" s="6" t="s">
        <v>2902</v>
      </c>
      <c r="K514" s="7" t="s">
        <v>2903</v>
      </c>
    </row>
    <row r="515" spans="1:11">
      <c r="A515" s="5">
        <v>674</v>
      </c>
      <c r="B515" s="5">
        <v>5</v>
      </c>
      <c r="C515" s="5" t="s">
        <v>2904</v>
      </c>
      <c r="D515" s="5" t="s">
        <v>2905</v>
      </c>
      <c r="E515" s="5" t="s">
        <v>781</v>
      </c>
      <c r="F515" s="5" t="s">
        <v>782</v>
      </c>
      <c r="G515" s="6" t="s">
        <v>2906</v>
      </c>
      <c r="H515" s="5" t="s">
        <v>2901</v>
      </c>
      <c r="I515" s="5" t="s">
        <v>2868</v>
      </c>
      <c r="J515" s="6" t="s">
        <v>2907</v>
      </c>
      <c r="K515" s="7" t="s">
        <v>2908</v>
      </c>
    </row>
    <row r="516" spans="1:11">
      <c r="A516" s="5">
        <v>675</v>
      </c>
      <c r="B516" s="5">
        <v>5</v>
      </c>
      <c r="C516" s="5" t="s">
        <v>2909</v>
      </c>
      <c r="D516" s="5" t="s">
        <v>2910</v>
      </c>
      <c r="E516" s="5" t="s">
        <v>781</v>
      </c>
      <c r="F516" s="5" t="s">
        <v>782</v>
      </c>
      <c r="G516" s="6" t="s">
        <v>2911</v>
      </c>
      <c r="H516" s="5" t="s">
        <v>2912</v>
      </c>
      <c r="I516" s="5" t="s">
        <v>2868</v>
      </c>
      <c r="J516" s="6" t="s">
        <v>2913</v>
      </c>
      <c r="K516" s="7" t="s">
        <v>2914</v>
      </c>
    </row>
    <row r="517" spans="1:11">
      <c r="A517" s="5">
        <v>676</v>
      </c>
      <c r="B517" s="5">
        <v>5</v>
      </c>
      <c r="C517" s="5" t="s">
        <v>2915</v>
      </c>
      <c r="D517" s="5" t="s">
        <v>2916</v>
      </c>
      <c r="E517" s="5" t="s">
        <v>799</v>
      </c>
      <c r="F517" s="5" t="s">
        <v>782</v>
      </c>
      <c r="G517" s="6" t="s">
        <v>2917</v>
      </c>
      <c r="H517" s="5" t="s">
        <v>2918</v>
      </c>
      <c r="I517" s="5" t="s">
        <v>2868</v>
      </c>
      <c r="J517" s="6" t="s">
        <v>2919</v>
      </c>
      <c r="K517" s="7" t="s">
        <v>2920</v>
      </c>
    </row>
    <row r="518" spans="1:11">
      <c r="A518" s="5">
        <v>677</v>
      </c>
      <c r="B518" s="5">
        <v>5</v>
      </c>
      <c r="C518" s="5" t="s">
        <v>2921</v>
      </c>
      <c r="D518" s="5" t="s">
        <v>2922</v>
      </c>
      <c r="E518" s="5" t="s">
        <v>781</v>
      </c>
      <c r="F518" s="5" t="s">
        <v>782</v>
      </c>
      <c r="G518" s="6" t="s">
        <v>2923</v>
      </c>
      <c r="H518" s="5" t="s">
        <v>2918</v>
      </c>
      <c r="I518" s="5" t="s">
        <v>2868</v>
      </c>
      <c r="J518" s="6" t="s">
        <v>2924</v>
      </c>
      <c r="K518" s="7" t="s">
        <v>2925</v>
      </c>
    </row>
    <row r="519" spans="1:11">
      <c r="A519" s="5">
        <v>678</v>
      </c>
      <c r="B519" s="5">
        <v>5</v>
      </c>
      <c r="C519" s="5" t="s">
        <v>2926</v>
      </c>
      <c r="D519" s="5">
        <v>2460</v>
      </c>
      <c r="E519" s="5" t="s">
        <v>781</v>
      </c>
      <c r="F519" s="5" t="s">
        <v>821</v>
      </c>
      <c r="G519" s="6" t="s">
        <v>2927</v>
      </c>
      <c r="H519" s="5" t="s">
        <v>2928</v>
      </c>
      <c r="I519" s="5" t="s">
        <v>2868</v>
      </c>
      <c r="J519" s="6" t="s">
        <v>2929</v>
      </c>
      <c r="K519" s="7" t="s">
        <v>2930</v>
      </c>
    </row>
    <row r="520" spans="1:11">
      <c r="A520" s="5">
        <v>679</v>
      </c>
      <c r="B520" s="5">
        <v>5</v>
      </c>
      <c r="C520" s="5" t="s">
        <v>2931</v>
      </c>
      <c r="D520" s="5" t="s">
        <v>2932</v>
      </c>
      <c r="E520" s="5" t="s">
        <v>781</v>
      </c>
      <c r="F520" s="5" t="s">
        <v>782</v>
      </c>
      <c r="G520" s="6" t="s">
        <v>2933</v>
      </c>
      <c r="H520" s="5" t="s">
        <v>2928</v>
      </c>
      <c r="I520" s="5" t="s">
        <v>2868</v>
      </c>
      <c r="J520" s="6" t="s">
        <v>2934</v>
      </c>
      <c r="K520" s="7" t="s">
        <v>2935</v>
      </c>
    </row>
    <row r="521" spans="1:11">
      <c r="A521" s="5">
        <v>680</v>
      </c>
      <c r="B521" s="5">
        <v>5</v>
      </c>
      <c r="C521" s="5" t="s">
        <v>793</v>
      </c>
      <c r="D521" s="5" t="s">
        <v>793</v>
      </c>
      <c r="E521" s="8" t="s">
        <v>793</v>
      </c>
      <c r="F521" s="5" t="s">
        <v>821</v>
      </c>
      <c r="G521" s="6" t="s">
        <v>2936</v>
      </c>
      <c r="H521" s="5" t="s">
        <v>2937</v>
      </c>
      <c r="I521" s="5" t="s">
        <v>2938</v>
      </c>
      <c r="J521" s="6" t="s">
        <v>2939</v>
      </c>
      <c r="K521" s="7" t="s">
        <v>2940</v>
      </c>
    </row>
  </sheetData>
  <mergeCells count="11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conditionalFormatting sqref="D130:E130">
    <cfRule type="duplicateValues" dxfId="0" priority="29"/>
    <cfRule type="duplicateValues" dxfId="0" priority="28"/>
    <cfRule type="duplicateValues" dxfId="0" priority="27"/>
    <cfRule type="duplicateValues" dxfId="0" priority="26"/>
  </conditionalFormatting>
  <conditionalFormatting sqref="D250">
    <cfRule type="duplicateValues" dxfId="0" priority="22"/>
    <cfRule type="duplicateValues" dxfId="0" priority="21"/>
    <cfRule type="duplicateValues" dxfId="0" priority="20"/>
    <cfRule type="duplicateValues" dxfId="0" priority="19"/>
  </conditionalFormatting>
  <conditionalFormatting sqref="J498">
    <cfRule type="duplicateValues" dxfId="0" priority="6"/>
  </conditionalFormatting>
  <conditionalFormatting sqref="K498">
    <cfRule type="duplicateValues" dxfId="0" priority="3"/>
  </conditionalFormatting>
  <conditionalFormatting sqref="A5:A521">
    <cfRule type="duplicateValues" dxfId="0" priority="12"/>
  </conditionalFormatting>
  <conditionalFormatting sqref="C5:C521">
    <cfRule type="duplicateValues" dxfId="0" priority="15"/>
    <cfRule type="duplicateValues" dxfId="0" priority="14"/>
    <cfRule type="duplicateValues" dxfId="0" priority="13"/>
  </conditionalFormatting>
  <conditionalFormatting sqref="D5:D521">
    <cfRule type="duplicateValues" dxfId="0" priority="17"/>
  </conditionalFormatting>
  <conditionalFormatting sqref="G5:G521">
    <cfRule type="duplicateValues" dxfId="0" priority="5"/>
    <cfRule type="duplicateValues" dxfId="0" priority="4"/>
  </conditionalFormatting>
  <conditionalFormatting sqref="J366:J521">
    <cfRule type="duplicateValues" dxfId="0" priority="2"/>
  </conditionalFormatting>
  <conditionalFormatting sqref="J500:J508">
    <cfRule type="duplicateValues" dxfId="0" priority="7"/>
  </conditionalFormatting>
  <conditionalFormatting sqref="K366:K521">
    <cfRule type="duplicateValues" dxfId="0" priority="1"/>
  </conditionalFormatting>
  <conditionalFormatting sqref="K500:K508">
    <cfRule type="duplicateValues" dxfId="0" priority="8"/>
  </conditionalFormatting>
  <conditionalFormatting sqref="J1 J499 J509:J521 J350:J497 J5:J347">
    <cfRule type="duplicateValues" dxfId="0" priority="10"/>
  </conditionalFormatting>
  <conditionalFormatting sqref="C509:C521 C5:C500">
    <cfRule type="duplicateValues" dxfId="0" priority="16"/>
  </conditionalFormatting>
  <conditionalFormatting sqref="D131:D249 D509:D521 D251:D500 D5:D129">
    <cfRule type="duplicateValues" dxfId="0" priority="25"/>
  </conditionalFormatting>
  <conditionalFormatting sqref="D131:D249 D251:D521 D5:D129">
    <cfRule type="duplicateValues" dxfId="0" priority="24"/>
    <cfRule type="duplicateValues" dxfId="0" priority="23"/>
    <cfRule type="duplicateValues" dxfId="0" priority="18"/>
  </conditionalFormatting>
  <conditionalFormatting sqref="J5:K20">
    <cfRule type="duplicateValues" dxfId="0" priority="9"/>
  </conditionalFormatting>
  <conditionalFormatting sqref="K499 K509:K521 K350:K497 K5:K347">
    <cfRule type="duplicateValues" dxfId="0" priority="1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SPBE</vt:lpstr>
      <vt:lpstr>TLPG</vt:lpstr>
      <vt:lpstr>Eksisting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Filipus Tegar Hadi Wicaksana</cp:lastModifiedBy>
  <dcterms:created xsi:type="dcterms:W3CDTF">2026-06-19T09:44:00Z</dcterms:created>
  <dcterms:modified xsi:type="dcterms:W3CDTF">2026-06-20T04:29:57Z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7432E195CCF340CC90F48C5BD39F9D0E_13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